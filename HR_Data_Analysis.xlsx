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0C665874-AAFE-40C8-A408-0716E42D6A29}" xr6:coauthVersionLast="47" xr6:coauthVersionMax="47" xr10:uidLastSave="{00000000-0000-0000-0000-000000000000}"/>
  <bookViews>
    <workbookView xWindow="-120" yWindow="-120" windowWidth="20730" windowHeight="11160" firstSheet="2" activeTab="2" xr2:uid="{5F11FCC7-7486-4494-9586-6B1EFF868CB3}"/>
  </bookViews>
  <sheets>
    <sheet name="pivot table" sheetId="7" state="hidden" r:id="rId1"/>
    <sheet name="Cleaned_HR_Data_Analysis" sheetId="1" state="hidden" r:id="rId2"/>
    <sheet name="dash board" sheetId="4" r:id="rId3"/>
  </sheets>
  <definedNames>
    <definedName name="Slicer_BusinessUnit">#N/A</definedName>
    <definedName name="Slicer_DepartmentType">#N/A</definedName>
    <definedName name="Slicer_EmployeeType">#N/A</definedName>
    <definedName name="Slicer_GenderCode">#N/A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R2" i="1"/>
</calcChain>
</file>

<file path=xl/sharedStrings.xml><?xml version="1.0" encoding="utf-8"?>
<sst xmlns="http://schemas.openxmlformats.org/spreadsheetml/2006/main" count="9076" uniqueCount="97">
  <si>
    <t>Employee ID</t>
  </si>
  <si>
    <t>StartDate</t>
  </si>
  <si>
    <t>BusinessUnit</t>
  </si>
  <si>
    <t>EmployeeStatus</t>
  </si>
  <si>
    <t>EmployeeType</t>
  </si>
  <si>
    <t>PayZone</t>
  </si>
  <si>
    <t>DepartmentType</t>
  </si>
  <si>
    <t>Division</t>
  </si>
  <si>
    <t>State</t>
  </si>
  <si>
    <t>GenderCode</t>
  </si>
  <si>
    <t>Performance Score</t>
  </si>
  <si>
    <t>Engagement Score</t>
  </si>
  <si>
    <t>Satisfaction Score</t>
  </si>
  <si>
    <t>Work-Life Balance Score</t>
  </si>
  <si>
    <t>Training Duration(Days)</t>
  </si>
  <si>
    <t>Training Cost</t>
  </si>
  <si>
    <t>Age</t>
  </si>
  <si>
    <t>CCDR</t>
  </si>
  <si>
    <t>Active</t>
  </si>
  <si>
    <t>Contract</t>
  </si>
  <si>
    <t>Zone C</t>
  </si>
  <si>
    <t xml:space="preserve">Production       </t>
  </si>
  <si>
    <t>Finance &amp; Accounting</t>
  </si>
  <si>
    <t>MA</t>
  </si>
  <si>
    <t>Female</t>
  </si>
  <si>
    <t>Fully Meets</t>
  </si>
  <si>
    <t>EW</t>
  </si>
  <si>
    <t>Zone A</t>
  </si>
  <si>
    <t>Part-Time</t>
  </si>
  <si>
    <t>Aerial</t>
  </si>
  <si>
    <t>Male</t>
  </si>
  <si>
    <t>PL</t>
  </si>
  <si>
    <t>Full-Time</t>
  </si>
  <si>
    <t>Zone B</t>
  </si>
  <si>
    <t>Sales</t>
  </si>
  <si>
    <t>General - Sga</t>
  </si>
  <si>
    <t>ND</t>
  </si>
  <si>
    <t>TNS</t>
  </si>
  <si>
    <t>General - Con</t>
  </si>
  <si>
    <t>FL</t>
  </si>
  <si>
    <t>BPC</t>
  </si>
  <si>
    <t>Field Operations</t>
  </si>
  <si>
    <t>CT</t>
  </si>
  <si>
    <t>WBL</t>
  </si>
  <si>
    <t>General - Eng</t>
  </si>
  <si>
    <t>CA</t>
  </si>
  <si>
    <t>Exceeds</t>
  </si>
  <si>
    <t>Engineers</t>
  </si>
  <si>
    <t>OR</t>
  </si>
  <si>
    <t>NEL</t>
  </si>
  <si>
    <t>Executive</t>
  </si>
  <si>
    <t>TX</t>
  </si>
  <si>
    <t>SVG</t>
  </si>
  <si>
    <t>IN</t>
  </si>
  <si>
    <t>MSC</t>
  </si>
  <si>
    <t>GA</t>
  </si>
  <si>
    <t>Splicing</t>
  </si>
  <si>
    <t>CO</t>
  </si>
  <si>
    <t>KY</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</si>
  <si>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</si>
  <si>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</si>
  <si>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</si>
  <si>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</si>
  <si>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</si>
  <si>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</si>
  <si>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</si>
  <si>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</si>
  <si>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</si>
  <si>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</si>
  <si>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</si>
  <si>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</si>
  <si>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</si>
  <si>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PIP</t>
  </si>
  <si>
    <t>Billable Consultants</t>
  </si>
  <si>
    <t>Technology / It</t>
  </si>
  <si>
    <t>Underground</t>
  </si>
  <si>
    <t>Executive Office</t>
  </si>
  <si>
    <t>Sales &amp; Marketing</t>
  </si>
  <si>
    <t>Software Engineering</t>
  </si>
  <si>
    <t>Admin Offices</t>
  </si>
  <si>
    <t>Isp</t>
  </si>
  <si>
    <t>Safety</t>
  </si>
  <si>
    <t>Column1</t>
  </si>
  <si>
    <t>Total Employee</t>
  </si>
  <si>
    <t>Inactive</t>
  </si>
  <si>
    <t>Row Labels</t>
  </si>
  <si>
    <t>Grand Total</t>
  </si>
  <si>
    <t>Count of Employee ID</t>
  </si>
  <si>
    <t>Column2</t>
  </si>
  <si>
    <t>Column3</t>
  </si>
  <si>
    <t>Column4</t>
  </si>
  <si>
    <t>Column Labels</t>
  </si>
  <si>
    <t>Average of Engagement Score</t>
  </si>
  <si>
    <t>Average of Satisfaction Score</t>
  </si>
  <si>
    <t>Average of Training Duration(Days)</t>
  </si>
  <si>
    <t>Values</t>
  </si>
  <si>
    <t>Average of Training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</si>
</sst>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449]\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[Cleaned_HR_Data_Analysis14.xlsx]pivot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Admin Offices</c:v>
                </c:pt>
                <c:pt idx="1">
                  <c:v>Executive Office</c:v>
                </c:pt>
                <c:pt idx="2">
                  <c:v>IT/IS</c:v>
                </c:pt>
                <c:pt idx="3">
                  <c:v>Production       </c:v>
                </c:pt>
                <c:pt idx="4">
                  <c:v>Sales</c:v>
                </c:pt>
                <c:pt idx="5">
                  <c:v>Software Engineering</c:v>
                </c:pt>
              </c:strCache>
            </c:strRef>
          </c:cat>
          <c:val>
            <c:numRef>
              <c:f>'pivot table'!$B$4:$B$10</c:f>
              <c:numCache>
                <c:formatCode>General</c:formatCode>
                <c:ptCount val="6"/>
                <c:pt idx="0">
                  <c:v>61</c:v>
                </c:pt>
                <c:pt idx="1">
                  <c:v>19</c:v>
                </c:pt>
                <c:pt idx="2">
                  <c:v>172</c:v>
                </c:pt>
                <c:pt idx="3">
                  <c:v>559</c:v>
                </c:pt>
                <c:pt idx="4">
                  <c:v>104</c:v>
                </c:pt>
                <c:pt idx="5">
                  <c:v>84</c:v>
                </c:pt>
              </c:numCache>
            </c:numRef>
          </c:val>
          <c:extLst>
            <c:ext xmlns:c16="http://schemas.microsoft.com/office/drawing/2014/chart" uri="{C3380CC4-5D6E-409C-BE32-E72D297353CC}">
              <c16:uniqueId val="{00000000-4371-492F-9911-6F8771A41A19}"/>
            </c:ext>
          </c:extLst>
        </c:ser>
        <c:dLbls>
          <c:showLegendKey val="0"/>
          <c:showVal val="0"/>
          <c:showCatName val="0"/>
          <c:showSerName val="0"/>
          <c:showPercent val="0"/>
          <c:showBubbleSize val="0"/>
        </c:dLbls>
        <c:gapWidth val="182"/>
        <c:axId val="711197520"/>
        <c:axId val="711206640"/>
      </c:barChart>
      <c:catAx>
        <c:axId val="71119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206640"/>
        <c:crosses val="autoZero"/>
        <c:auto val="1"/>
        <c:lblAlgn val="ctr"/>
        <c:lblOffset val="100"/>
        <c:noMultiLvlLbl val="0"/>
      </c:catAx>
      <c:valAx>
        <c:axId val="711206640"/>
        <c:scaling>
          <c:orientation val="minMax"/>
        </c:scaling>
        <c:delete val="1"/>
        <c:axPos val="b"/>
        <c:numFmt formatCode="General" sourceLinked="1"/>
        <c:majorTickMark val="none"/>
        <c:minorTickMark val="none"/>
        <c:tickLblPos val="nextTo"/>
        <c:crossAx val="7111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[Cleaned_HR_Data_Analysis14.xlsx]pivot table!PivotTable4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alpha val="9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table'!$B$12:$B$13</c:f>
              <c:strCache>
                <c:ptCount val="1"/>
                <c:pt idx="0">
                  <c:v>Active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Admin Offices</c:v>
                </c:pt>
                <c:pt idx="1">
                  <c:v>Executive Office</c:v>
                </c:pt>
                <c:pt idx="2">
                  <c:v>IT/IS</c:v>
                </c:pt>
                <c:pt idx="3">
                  <c:v>Production       </c:v>
                </c:pt>
                <c:pt idx="4">
                  <c:v>Sales</c:v>
                </c:pt>
                <c:pt idx="5">
                  <c:v>Software Engineering</c:v>
                </c:pt>
              </c:strCache>
            </c:strRef>
          </c:cat>
          <c:val>
            <c:numRef>
              <c:f>'pivot table'!$B$14:$B$20</c:f>
              <c:numCache>
                <c:formatCode>General</c:formatCode>
                <c:ptCount val="6"/>
                <c:pt idx="0">
                  <c:v>61</c:v>
                </c:pt>
                <c:pt idx="1">
                  <c:v>19</c:v>
                </c:pt>
                <c:pt idx="2">
                  <c:v>157</c:v>
                </c:pt>
                <c:pt idx="3">
                  <c:v>440</c:v>
                </c:pt>
                <c:pt idx="4">
                  <c:v>104</c:v>
                </c:pt>
                <c:pt idx="5">
                  <c:v>65</c:v>
                </c:pt>
              </c:numCache>
            </c:numRef>
          </c:val>
          <c:extLst>
            <c:ext xmlns:c16="http://schemas.microsoft.com/office/drawing/2014/chart" uri="{C3380CC4-5D6E-409C-BE32-E72D297353CC}">
              <c16:uniqueId val="{00000000-BD5B-4A30-91B1-EDBD6DD0EEEE}"/>
            </c:ext>
          </c:extLst>
        </c:ser>
        <c:ser>
          <c:idx val="1"/>
          <c:order val="1"/>
          <c:tx>
            <c:strRef>
              <c:f>'pivot table'!$C$12:$C$13</c:f>
              <c:strCache>
                <c:ptCount val="1"/>
                <c:pt idx="0">
                  <c:v>Inactive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table'!$A$14:$A$20</c:f>
              <c:strCache>
                <c:ptCount val="6"/>
                <c:pt idx="0">
                  <c:v>Admin Offices</c:v>
                </c:pt>
                <c:pt idx="1">
                  <c:v>Executive Office</c:v>
                </c:pt>
                <c:pt idx="2">
                  <c:v>IT/IS</c:v>
                </c:pt>
                <c:pt idx="3">
                  <c:v>Production       </c:v>
                </c:pt>
                <c:pt idx="4">
                  <c:v>Sales</c:v>
                </c:pt>
                <c:pt idx="5">
                  <c:v>Software Engineering</c:v>
                </c:pt>
              </c:strCache>
            </c:strRef>
          </c:cat>
          <c:val>
            <c:numRef>
              <c:f>'pivot table'!$C$14:$C$20</c:f>
              <c:numCache>
                <c:formatCode>General</c:formatCode>
                <c:ptCount val="6"/>
                <c:pt idx="2">
                  <c:v>15</c:v>
                </c:pt>
                <c:pt idx="3">
                  <c:v>119</c:v>
                </c:pt>
                <c:pt idx="5">
                  <c:v>19</c:v>
                </c:pt>
              </c:numCache>
            </c:numRef>
          </c:val>
          <c:extLst>
            <c:ext xmlns:c16="http://schemas.microsoft.com/office/drawing/2014/chart" uri="{C3380CC4-5D6E-409C-BE32-E72D297353CC}">
              <c16:uniqueId val="{00000000-DF6C-49EF-BC21-DD248C911BE6}"/>
            </c:ext>
          </c:extLst>
        </c:ser>
        <c:dLbls>
          <c:showLegendKey val="0"/>
          <c:showVal val="0"/>
          <c:showCatName val="0"/>
          <c:showSerName val="0"/>
          <c:showPercent val="0"/>
          <c:showBubbleSize val="0"/>
        </c:dLbls>
        <c:gapWidth val="219"/>
        <c:overlap val="-27"/>
        <c:axId val="1961497888"/>
        <c:axId val="1961498848"/>
      </c:barChart>
      <c:catAx>
        <c:axId val="1961497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90000"/>
                  </a:schemeClr>
                </a:solidFill>
                <a:latin typeface="+mn-lt"/>
                <a:ea typeface="+mn-ea"/>
                <a:cs typeface="+mn-cs"/>
              </a:defRPr>
            </a:pPr>
            <a:endParaRPr lang="en-US"/>
          </a:p>
        </c:txPr>
        <c:crossAx val="1961498848"/>
        <c:crosses val="autoZero"/>
        <c:auto val="1"/>
        <c:lblAlgn val="ctr"/>
        <c:lblOffset val="100"/>
        <c:noMultiLvlLbl val="0"/>
      </c:catAx>
      <c:valAx>
        <c:axId val="1961498848"/>
        <c:scaling>
          <c:orientation val="minMax"/>
        </c:scaling>
        <c:delete val="1"/>
        <c:axPos val="l"/>
        <c:numFmt formatCode="General" sourceLinked="1"/>
        <c:majorTickMark val="out"/>
        <c:minorTickMark val="none"/>
        <c:tickLblPos val="nextTo"/>
        <c:crossAx val="196149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alpha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3">
          <a:satMod val="175000"/>
          <a:alpha val="40000"/>
        </a:schemeClr>
      </a:glow>
    </a:effectLst>
  </c:spPr>
  <c:txPr>
    <a:bodyPr rot="0" anchor="ctr" anchorCtr="1"/>
    <a:lstStyle/>
    <a:p>
      <a:pPr>
        <a:defRPr>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[Cleaned_HR_Data_Analysis14.xlsx]pivot table!PivotTable3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Admin Offices</c:v>
                </c:pt>
                <c:pt idx="1">
                  <c:v>Executive Office</c:v>
                </c:pt>
                <c:pt idx="2">
                  <c:v>IT/IS</c:v>
                </c:pt>
                <c:pt idx="3">
                  <c:v>Production       </c:v>
                </c:pt>
                <c:pt idx="4">
                  <c:v>Sales</c:v>
                </c:pt>
                <c:pt idx="5">
                  <c:v>Software Engineering</c:v>
                </c:pt>
              </c:strCache>
            </c:strRef>
          </c:cat>
          <c:val>
            <c:numRef>
              <c:f>'pivot table'!$B$4:$B$10</c:f>
              <c:numCache>
                <c:formatCode>General</c:formatCode>
                <c:ptCount val="6"/>
                <c:pt idx="0">
                  <c:v>61</c:v>
                </c:pt>
                <c:pt idx="1">
                  <c:v>19</c:v>
                </c:pt>
                <c:pt idx="2">
                  <c:v>172</c:v>
                </c:pt>
                <c:pt idx="3">
                  <c:v>559</c:v>
                </c:pt>
                <c:pt idx="4">
                  <c:v>104</c:v>
                </c:pt>
                <c:pt idx="5">
                  <c:v>84</c:v>
                </c:pt>
              </c:numCache>
            </c:numRef>
          </c:val>
          <c:extLst>
            <c:ext xmlns:c16="http://schemas.microsoft.com/office/drawing/2014/chart" uri="{C3380CC4-5D6E-409C-BE32-E72D297353CC}">
              <c16:uniqueId val="{00000000-9E55-44DA-BA09-DA71B623A8EA}"/>
            </c:ext>
          </c:extLst>
        </c:ser>
        <c:dLbls>
          <c:showLegendKey val="0"/>
          <c:showVal val="0"/>
          <c:showCatName val="0"/>
          <c:showSerName val="0"/>
          <c:showPercent val="0"/>
          <c:showBubbleSize val="0"/>
        </c:dLbls>
        <c:gapWidth val="182"/>
        <c:axId val="711197520"/>
        <c:axId val="711206640"/>
      </c:barChart>
      <c:catAx>
        <c:axId val="71119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206640"/>
        <c:crosses val="autoZero"/>
        <c:auto val="1"/>
        <c:lblAlgn val="ctr"/>
        <c:lblOffset val="100"/>
        <c:noMultiLvlLbl val="0"/>
      </c:catAx>
      <c:valAx>
        <c:axId val="711206640"/>
        <c:scaling>
          <c:orientation val="minMax"/>
        </c:scaling>
        <c:delete val="1"/>
        <c:axPos val="b"/>
        <c:numFmt formatCode="General" sourceLinked="1"/>
        <c:majorTickMark val="none"/>
        <c:minorTickMark val="none"/>
        <c:tickLblPos val="nextTo"/>
        <c:crossAx val="7111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[Cleaned_HR_Data_Analysis14.xlsx]pivot table!PivotTable6</c:name>
    <c:fmtId val="25"/>
  </c:pivotSource>
  <c:chart>
    <c:title>
      <c:layout>
        <c:manualLayout>
          <c:xMode val="edge"/>
          <c:yMode val="edge"/>
          <c:x val="0.42820493592147135"/>
          <c:y val="1.87353583911785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cap="flat">
            <a:solidFill>
              <a:schemeClr val="tx1">
                <a:lumMod val="15000"/>
                <a:lumOff val="85000"/>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5875" cap="flat">
            <a:solidFill>
              <a:schemeClr val="tx1">
                <a:lumMod val="15000"/>
                <a:lumOff val="85000"/>
                <a:alpha val="91000"/>
              </a:schemeClr>
            </a:solidFill>
          </a:ln>
          <a:effectLst/>
        </c:spPr>
        <c:dLbl>
          <c:idx val="0"/>
          <c:layout>
            <c:manualLayout>
              <c:x val="-0.1763371886206532"/>
              <c:y val="-6.1166765342832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77000"/>
            </a:schemeClr>
          </a:solidFill>
          <a:ln w="15875" cap="flat">
            <a:solidFill>
              <a:schemeClr val="tx1">
                <a:lumMod val="15000"/>
                <a:lumOff val="85000"/>
                <a:alpha val="91000"/>
              </a:schemeClr>
            </a:solidFill>
          </a:ln>
          <a:effectLst/>
        </c:spPr>
        <c:dLbl>
          <c:idx val="0"/>
          <c:layout>
            <c:manualLayout>
              <c:x val="0.18887292934537026"/>
              <c:y val="4.21820939147948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46144231970905E-3"/>
          <c:y val="3.1459666363098146E-2"/>
          <c:w val="0.49769586493995932"/>
          <c:h val="0.63639783476299028"/>
        </c:manualLayout>
      </c:layout>
      <c:pieChart>
        <c:varyColors val="1"/>
        <c:ser>
          <c:idx val="0"/>
          <c:order val="0"/>
          <c:tx>
            <c:strRef>
              <c:f>'pivot table'!$E$3</c:f>
              <c:strCache>
                <c:ptCount val="1"/>
                <c:pt idx="0">
                  <c:v>Total</c:v>
                </c:pt>
              </c:strCache>
            </c:strRef>
          </c:tx>
          <c:spPr>
            <a:ln w="15875" cap="flat">
              <a:solidFill>
                <a:schemeClr val="tx1">
                  <a:lumMod val="15000"/>
                  <a:lumOff val="85000"/>
                  <a:alpha val="91000"/>
                </a:schemeClr>
              </a:solidFill>
            </a:ln>
          </c:spPr>
          <c:dPt>
            <c:idx val="0"/>
            <c:bubble3D val="0"/>
            <c:explosion val="4"/>
            <c:spPr>
              <a:solidFill>
                <a:schemeClr val="accent1">
                  <a:shade val="76000"/>
                </a:schemeClr>
              </a:solidFill>
              <a:ln w="15875" cap="flat">
                <a:solidFill>
                  <a:schemeClr val="tx1">
                    <a:lumMod val="15000"/>
                    <a:lumOff val="85000"/>
                    <a:alpha val="91000"/>
                  </a:schemeClr>
                </a:solidFill>
              </a:ln>
              <a:effectLst/>
            </c:spPr>
            <c:extLst>
              <c:ext xmlns:c16="http://schemas.microsoft.com/office/drawing/2014/chart" uri="{C3380CC4-5D6E-409C-BE32-E72D297353CC}">
                <c16:uniqueId val="{00000003-FA57-4F8E-BEDB-ED8AF8614FC0}"/>
              </c:ext>
            </c:extLst>
          </c:dPt>
          <c:dPt>
            <c:idx val="1"/>
            <c:bubble3D val="0"/>
            <c:spPr>
              <a:solidFill>
                <a:schemeClr val="accent1">
                  <a:tint val="77000"/>
                </a:schemeClr>
              </a:solidFill>
              <a:ln w="15875" cap="flat">
                <a:solidFill>
                  <a:schemeClr val="tx1">
                    <a:lumMod val="15000"/>
                    <a:lumOff val="85000"/>
                    <a:alpha val="91000"/>
                  </a:schemeClr>
                </a:solidFill>
              </a:ln>
              <a:effectLst/>
            </c:spPr>
            <c:extLst>
              <c:ext xmlns:c16="http://schemas.microsoft.com/office/drawing/2014/chart" uri="{C3380CC4-5D6E-409C-BE32-E72D297353CC}">
                <c16:uniqueId val="{00000002-FA57-4F8E-BEDB-ED8AF8614F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General</c:formatCode>
                <c:ptCount val="2"/>
                <c:pt idx="0">
                  <c:v>546</c:v>
                </c:pt>
                <c:pt idx="1">
                  <c:v>453</c:v>
                </c:pt>
              </c:numCache>
            </c:numRef>
          </c:val>
          <c:extLst>
            <c:ext xmlns:c16="http://schemas.microsoft.com/office/drawing/2014/chart" uri="{C3380CC4-5D6E-409C-BE32-E72D297353CC}">
              <c16:uniqueId val="{00000000-FA57-4F8E-BEDB-ED8AF8614F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[Cleaned_HR_Data_Analysis14.xlsx]pivot table!PivotTable1</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table'!$F$8:$F$9</c:f>
              <c:strCache>
                <c:ptCount val="1"/>
                <c:pt idx="0">
                  <c:v>Exceeds</c:v>
                </c:pt>
              </c:strCache>
            </c:strRef>
          </c:tx>
          <c:spPr>
            <a:solidFill>
              <a:schemeClr val="accent1"/>
            </a:solidFill>
            <a:ln>
              <a:noFill/>
            </a:ln>
            <a:effectLst/>
          </c:spPr>
          <c:invertIfNegative val="0"/>
          <c:cat>
            <c:strRef>
              <c:f>'pivot table'!$E$10:$E$16</c:f>
              <c:strCache>
                <c:ptCount val="6"/>
                <c:pt idx="0">
                  <c:v>Admin Offices</c:v>
                </c:pt>
                <c:pt idx="1">
                  <c:v>Executive Office</c:v>
                </c:pt>
                <c:pt idx="2">
                  <c:v>IT/IS</c:v>
                </c:pt>
                <c:pt idx="3">
                  <c:v>Production       </c:v>
                </c:pt>
                <c:pt idx="4">
                  <c:v>Sales</c:v>
                </c:pt>
                <c:pt idx="5">
                  <c:v>Software Engineering</c:v>
                </c:pt>
              </c:strCache>
            </c:strRef>
          </c:cat>
          <c:val>
            <c:numRef>
              <c:f>'pivot table'!$F$10:$F$16</c:f>
              <c:numCache>
                <c:formatCode>General</c:formatCode>
                <c:ptCount val="6"/>
                <c:pt idx="0">
                  <c:v>16</c:v>
                </c:pt>
                <c:pt idx="1">
                  <c:v>1</c:v>
                </c:pt>
                <c:pt idx="2">
                  <c:v>17</c:v>
                </c:pt>
                <c:pt idx="3">
                  <c:v>96</c:v>
                </c:pt>
                <c:pt idx="4">
                  <c:v>17</c:v>
                </c:pt>
              </c:numCache>
            </c:numRef>
          </c:val>
          <c:extLst>
            <c:ext xmlns:c16="http://schemas.microsoft.com/office/drawing/2014/chart" uri="{C3380CC4-5D6E-409C-BE32-E72D297353CC}">
              <c16:uniqueId val="{0000000D-D54B-4B3F-B1AE-8CA65683D66C}"/>
            </c:ext>
          </c:extLst>
        </c:ser>
        <c:ser>
          <c:idx val="1"/>
          <c:order val="1"/>
          <c:tx>
            <c:strRef>
              <c:f>'pivot table'!$G$8:$G$9</c:f>
              <c:strCache>
                <c:ptCount val="1"/>
                <c:pt idx="0">
                  <c:v>Fully Meets</c:v>
                </c:pt>
              </c:strCache>
            </c:strRef>
          </c:tx>
          <c:spPr>
            <a:solidFill>
              <a:schemeClr val="accent3"/>
            </a:solidFill>
            <a:ln>
              <a:noFill/>
            </a:ln>
            <a:effectLst/>
          </c:spPr>
          <c:invertIfNegative val="0"/>
          <c:cat>
            <c:strRef>
              <c:f>'pivot table'!$E$10:$E$16</c:f>
              <c:strCache>
                <c:ptCount val="6"/>
                <c:pt idx="0">
                  <c:v>Admin Offices</c:v>
                </c:pt>
                <c:pt idx="1">
                  <c:v>Executive Office</c:v>
                </c:pt>
                <c:pt idx="2">
                  <c:v>IT/IS</c:v>
                </c:pt>
                <c:pt idx="3">
                  <c:v>Production       </c:v>
                </c:pt>
                <c:pt idx="4">
                  <c:v>Sales</c:v>
                </c:pt>
                <c:pt idx="5">
                  <c:v>Software Engineering</c:v>
                </c:pt>
              </c:strCache>
            </c:strRef>
          </c:cat>
          <c:val>
            <c:numRef>
              <c:f>'pivot table'!$G$10:$G$16</c:f>
              <c:numCache>
                <c:formatCode>General</c:formatCode>
                <c:ptCount val="6"/>
                <c:pt idx="0">
                  <c:v>40</c:v>
                </c:pt>
                <c:pt idx="1">
                  <c:v>12</c:v>
                </c:pt>
                <c:pt idx="2">
                  <c:v>131</c:v>
                </c:pt>
                <c:pt idx="3">
                  <c:v>410</c:v>
                </c:pt>
                <c:pt idx="4">
                  <c:v>78</c:v>
                </c:pt>
                <c:pt idx="5">
                  <c:v>84</c:v>
                </c:pt>
              </c:numCache>
            </c:numRef>
          </c:val>
          <c:extLst>
            <c:ext xmlns:c16="http://schemas.microsoft.com/office/drawing/2014/chart" uri="{C3380CC4-5D6E-409C-BE32-E72D297353CC}">
              <c16:uniqueId val="{0000001A-D54B-4B3F-B1AE-8CA65683D66C}"/>
            </c:ext>
          </c:extLst>
        </c:ser>
        <c:ser>
          <c:idx val="2"/>
          <c:order val="2"/>
          <c:tx>
            <c:strRef>
              <c:f>'pivot table'!$H$8:$H$9</c:f>
              <c:strCache>
                <c:ptCount val="1"/>
                <c:pt idx="0">
                  <c:v>Needs Improvement</c:v>
                </c:pt>
              </c:strCache>
            </c:strRef>
          </c:tx>
          <c:spPr>
            <a:solidFill>
              <a:schemeClr val="accent5"/>
            </a:solidFill>
            <a:ln>
              <a:noFill/>
            </a:ln>
            <a:effectLst/>
          </c:spPr>
          <c:invertIfNegative val="0"/>
          <c:cat>
            <c:strRef>
              <c:f>'pivot table'!$E$10:$E$16</c:f>
              <c:strCache>
                <c:ptCount val="6"/>
                <c:pt idx="0">
                  <c:v>Admin Offices</c:v>
                </c:pt>
                <c:pt idx="1">
                  <c:v>Executive Office</c:v>
                </c:pt>
                <c:pt idx="2">
                  <c:v>IT/IS</c:v>
                </c:pt>
                <c:pt idx="3">
                  <c:v>Production       </c:v>
                </c:pt>
                <c:pt idx="4">
                  <c:v>Sales</c:v>
                </c:pt>
                <c:pt idx="5">
                  <c:v>Software Engineering</c:v>
                </c:pt>
              </c:strCache>
            </c:strRef>
          </c:cat>
          <c:val>
            <c:numRef>
              <c:f>'pivot table'!$H$10:$H$16</c:f>
              <c:numCache>
                <c:formatCode>General</c:formatCode>
                <c:ptCount val="6"/>
                <c:pt idx="1">
                  <c:v>1</c:v>
                </c:pt>
                <c:pt idx="2">
                  <c:v>10</c:v>
                </c:pt>
                <c:pt idx="3">
                  <c:v>42</c:v>
                </c:pt>
                <c:pt idx="4">
                  <c:v>9</c:v>
                </c:pt>
              </c:numCache>
            </c:numRef>
          </c:val>
          <c:extLst>
            <c:ext xmlns:c16="http://schemas.microsoft.com/office/drawing/2014/chart" uri="{C3380CC4-5D6E-409C-BE32-E72D297353CC}">
              <c16:uniqueId val="{00000000-2DCC-46D1-A969-9D3F241A5663}"/>
            </c:ext>
          </c:extLst>
        </c:ser>
        <c:ser>
          <c:idx val="3"/>
          <c:order val="3"/>
          <c:tx>
            <c:strRef>
              <c:f>'pivot table'!$I$8:$I$9</c:f>
              <c:strCache>
                <c:ptCount val="1"/>
                <c:pt idx="0">
                  <c:v>PIP</c:v>
                </c:pt>
              </c:strCache>
            </c:strRef>
          </c:tx>
          <c:spPr>
            <a:solidFill>
              <a:schemeClr val="accent1">
                <a:lumMod val="60000"/>
              </a:schemeClr>
            </a:solidFill>
            <a:ln>
              <a:noFill/>
            </a:ln>
            <a:effectLst/>
          </c:spPr>
          <c:invertIfNegative val="0"/>
          <c:cat>
            <c:strRef>
              <c:f>'pivot table'!$E$10:$E$16</c:f>
              <c:strCache>
                <c:ptCount val="6"/>
                <c:pt idx="0">
                  <c:v>Admin Offices</c:v>
                </c:pt>
                <c:pt idx="1">
                  <c:v>Executive Office</c:v>
                </c:pt>
                <c:pt idx="2">
                  <c:v>IT/IS</c:v>
                </c:pt>
                <c:pt idx="3">
                  <c:v>Production       </c:v>
                </c:pt>
                <c:pt idx="4">
                  <c:v>Sales</c:v>
                </c:pt>
                <c:pt idx="5">
                  <c:v>Software Engineering</c:v>
                </c:pt>
              </c:strCache>
            </c:strRef>
          </c:cat>
          <c:val>
            <c:numRef>
              <c:f>'pivot table'!$I$10:$I$16</c:f>
              <c:numCache>
                <c:formatCode>General</c:formatCode>
                <c:ptCount val="6"/>
                <c:pt idx="0">
                  <c:v>5</c:v>
                </c:pt>
                <c:pt idx="1">
                  <c:v>5</c:v>
                </c:pt>
                <c:pt idx="2">
                  <c:v>14</c:v>
                </c:pt>
                <c:pt idx="3">
                  <c:v>11</c:v>
                </c:pt>
              </c:numCache>
            </c:numRef>
          </c:val>
          <c:extLst>
            <c:ext xmlns:c16="http://schemas.microsoft.com/office/drawing/2014/chart" uri="{C3380CC4-5D6E-409C-BE32-E72D297353CC}">
              <c16:uniqueId val="{00000000-5D80-4391-8028-97CDCEC51ACB}"/>
            </c:ext>
          </c:extLst>
        </c:ser>
        <c:dLbls>
          <c:showLegendKey val="0"/>
          <c:showVal val="0"/>
          <c:showCatName val="0"/>
          <c:showSerName val="0"/>
          <c:showPercent val="0"/>
          <c:showBubbleSize val="0"/>
        </c:dLbls>
        <c:gapWidth val="182"/>
        <c:overlap val="100"/>
        <c:axId val="1493708511"/>
        <c:axId val="1493689791"/>
      </c:barChart>
      <c:catAx>
        <c:axId val="149370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89791"/>
        <c:crosses val="autoZero"/>
        <c:auto val="1"/>
        <c:lblAlgn val="ctr"/>
        <c:lblOffset val="100"/>
        <c:noMultiLvlLbl val="0"/>
      </c:catAx>
      <c:valAx>
        <c:axId val="1493689791"/>
        <c:scaling>
          <c:orientation val="minMax"/>
        </c:scaling>
        <c:delete val="1"/>
        <c:axPos val="b"/>
        <c:numFmt formatCode="General" sourceLinked="1"/>
        <c:majorTickMark val="none"/>
        <c:minorTickMark val="none"/>
        <c:tickLblPos val="nextTo"/>
        <c:crossAx val="1493708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[Cleaned_HR_Data_Analysis14.xlsx]pivot table!PivotTable2</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Average of Engagement Score</c:v>
                </c:pt>
              </c:strCache>
            </c:strRef>
          </c:tx>
          <c:spPr>
            <a:solidFill>
              <a:schemeClr val="accent5">
                <a:shade val="76000"/>
              </a:schemeClr>
            </a:solidFill>
            <a:ln>
              <a:noFill/>
            </a:ln>
            <a:effectLst/>
          </c:spPr>
          <c:invertIfNegative val="0"/>
          <c:cat>
            <c:strRef>
              <c:f>'pivot table'!$A$23:$A$29</c:f>
              <c:strCache>
                <c:ptCount val="6"/>
                <c:pt idx="0">
                  <c:v>Admin Offices</c:v>
                </c:pt>
                <c:pt idx="1">
                  <c:v>Executive Office</c:v>
                </c:pt>
                <c:pt idx="2">
                  <c:v>IT/IS</c:v>
                </c:pt>
                <c:pt idx="3">
                  <c:v>Production       </c:v>
                </c:pt>
                <c:pt idx="4">
                  <c:v>Sales</c:v>
                </c:pt>
                <c:pt idx="5">
                  <c:v>Software Engineering</c:v>
                </c:pt>
              </c:strCache>
            </c:strRef>
          </c:cat>
          <c:val>
            <c:numRef>
              <c:f>'pivot table'!$B$23:$B$29</c:f>
              <c:numCache>
                <c:formatCode>General</c:formatCode>
                <c:ptCount val="6"/>
                <c:pt idx="0">
                  <c:v>2.9344262295081966</c:v>
                </c:pt>
                <c:pt idx="1">
                  <c:v>3.5789473684210527</c:v>
                </c:pt>
                <c:pt idx="2">
                  <c:v>3.1860465116279069</c:v>
                </c:pt>
                <c:pt idx="3">
                  <c:v>2.7906976744186047</c:v>
                </c:pt>
                <c:pt idx="4">
                  <c:v>2.9038461538461537</c:v>
                </c:pt>
                <c:pt idx="5">
                  <c:v>3.0238095238095237</c:v>
                </c:pt>
              </c:numCache>
            </c:numRef>
          </c:val>
          <c:extLst>
            <c:ext xmlns:c16="http://schemas.microsoft.com/office/drawing/2014/chart" uri="{C3380CC4-5D6E-409C-BE32-E72D297353CC}">
              <c16:uniqueId val="{00000005-ED8E-4F9D-854D-3074B55A3A31}"/>
            </c:ext>
          </c:extLst>
        </c:ser>
        <c:ser>
          <c:idx val="1"/>
          <c:order val="1"/>
          <c:tx>
            <c:strRef>
              <c:f>'pivot table'!$C$22</c:f>
              <c:strCache>
                <c:ptCount val="1"/>
                <c:pt idx="0">
                  <c:v>Average of Satisfaction Score</c:v>
                </c:pt>
              </c:strCache>
            </c:strRef>
          </c:tx>
          <c:spPr>
            <a:solidFill>
              <a:schemeClr val="accent5">
                <a:tint val="77000"/>
              </a:schemeClr>
            </a:solidFill>
            <a:ln>
              <a:noFill/>
            </a:ln>
            <a:effectLst/>
          </c:spPr>
          <c:invertIfNegative val="0"/>
          <c:cat>
            <c:strRef>
              <c:f>'pivot table'!$A$23:$A$29</c:f>
              <c:strCache>
                <c:ptCount val="6"/>
                <c:pt idx="0">
                  <c:v>Admin Offices</c:v>
                </c:pt>
                <c:pt idx="1">
                  <c:v>Executive Office</c:v>
                </c:pt>
                <c:pt idx="2">
                  <c:v>IT/IS</c:v>
                </c:pt>
                <c:pt idx="3">
                  <c:v>Production       </c:v>
                </c:pt>
                <c:pt idx="4">
                  <c:v>Sales</c:v>
                </c:pt>
                <c:pt idx="5">
                  <c:v>Software Engineering</c:v>
                </c:pt>
              </c:strCache>
            </c:strRef>
          </c:cat>
          <c:val>
            <c:numRef>
              <c:f>'pivot table'!$C$23:$C$29</c:f>
              <c:numCache>
                <c:formatCode>General</c:formatCode>
                <c:ptCount val="6"/>
                <c:pt idx="0">
                  <c:v>2.442622950819672</c:v>
                </c:pt>
                <c:pt idx="1">
                  <c:v>3.1052631578947367</c:v>
                </c:pt>
                <c:pt idx="2">
                  <c:v>3.0697674418604652</c:v>
                </c:pt>
                <c:pt idx="3">
                  <c:v>3.0232558139534884</c:v>
                </c:pt>
                <c:pt idx="4">
                  <c:v>3.25</c:v>
                </c:pt>
                <c:pt idx="5">
                  <c:v>3.0357142857142856</c:v>
                </c:pt>
              </c:numCache>
            </c:numRef>
          </c:val>
          <c:extLst>
            <c:ext xmlns:c16="http://schemas.microsoft.com/office/drawing/2014/chart" uri="{C3380CC4-5D6E-409C-BE32-E72D297353CC}">
              <c16:uniqueId val="{00000006-ED8E-4F9D-854D-3074B55A3A31}"/>
            </c:ext>
          </c:extLst>
        </c:ser>
        <c:dLbls>
          <c:showLegendKey val="0"/>
          <c:showVal val="0"/>
          <c:showCatName val="0"/>
          <c:showSerName val="0"/>
          <c:showPercent val="0"/>
          <c:showBubbleSize val="0"/>
        </c:dLbls>
        <c:gapWidth val="219"/>
        <c:axId val="1493677311"/>
        <c:axId val="1493661951"/>
      </c:barChart>
      <c:catAx>
        <c:axId val="1493677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61951"/>
        <c:crosses val="autoZero"/>
        <c:auto val="1"/>
        <c:lblAlgn val="ctr"/>
        <c:lblOffset val="100"/>
        <c:noMultiLvlLbl val="0"/>
      </c:catAx>
      <c:valAx>
        <c:axId val="1493661951"/>
        <c:scaling>
          <c:orientation val="minMax"/>
        </c:scaling>
        <c:delete val="1"/>
        <c:axPos val="l"/>
        <c:numFmt formatCode="General" sourceLinked="1"/>
        <c:majorTickMark val="out"/>
        <c:minorTickMark val="none"/>
        <c:tickLblPos val="nextTo"/>
        <c:crossAx val="149367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[Cleaned_HR_Data_Analysis14.xlsx]pivot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Employees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3667414089795"/>
          <c:y val="0.18661642613437374"/>
          <c:w val="0.58863325859102056"/>
          <c:h val="0.75803763998916063"/>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Admin Offices</c:v>
                </c:pt>
                <c:pt idx="1">
                  <c:v>Executive Office</c:v>
                </c:pt>
                <c:pt idx="2">
                  <c:v>IT/IS</c:v>
                </c:pt>
                <c:pt idx="3">
                  <c:v>Production       </c:v>
                </c:pt>
                <c:pt idx="4">
                  <c:v>Sales</c:v>
                </c:pt>
                <c:pt idx="5">
                  <c:v>Software Engineering</c:v>
                </c:pt>
              </c:strCache>
            </c:strRef>
          </c:cat>
          <c:val>
            <c:numRef>
              <c:f>'pivot table'!$B$4:$B$10</c:f>
              <c:numCache>
                <c:formatCode>General</c:formatCode>
                <c:ptCount val="6"/>
                <c:pt idx="0">
                  <c:v>61</c:v>
                </c:pt>
                <c:pt idx="1">
                  <c:v>19</c:v>
                </c:pt>
                <c:pt idx="2">
                  <c:v>172</c:v>
                </c:pt>
                <c:pt idx="3">
                  <c:v>559</c:v>
                </c:pt>
                <c:pt idx="4">
                  <c:v>104</c:v>
                </c:pt>
                <c:pt idx="5">
                  <c:v>84</c:v>
                </c:pt>
              </c:numCache>
            </c:numRef>
          </c:val>
          <c:extLst>
            <c:ext xmlns:c16="http://schemas.microsoft.com/office/drawing/2014/chart" uri="{C3380CC4-5D6E-409C-BE32-E72D297353CC}">
              <c16:uniqueId val="{00000000-592D-4DC2-A441-5D59AFF0DB80}"/>
            </c:ext>
          </c:extLst>
        </c:ser>
        <c:dLbls>
          <c:showLegendKey val="0"/>
          <c:showVal val="0"/>
          <c:showCatName val="0"/>
          <c:showSerName val="0"/>
          <c:showPercent val="0"/>
          <c:showBubbleSize val="0"/>
        </c:dLbls>
        <c:gapWidth val="182"/>
        <c:axId val="711197520"/>
        <c:axId val="711206640"/>
      </c:barChart>
      <c:catAx>
        <c:axId val="71119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1206640"/>
        <c:crosses val="autoZero"/>
        <c:auto val="1"/>
        <c:lblAlgn val="ctr"/>
        <c:lblOffset val="100"/>
        <c:noMultiLvlLbl val="0"/>
      </c:catAx>
      <c:valAx>
        <c:axId val="711206640"/>
        <c:scaling>
          <c:orientation val="minMax"/>
        </c:scaling>
        <c:delete val="1"/>
        <c:axPos val="b"/>
        <c:numFmt formatCode="General" sourceLinked="1"/>
        <c:majorTickMark val="none"/>
        <c:minorTickMark val="none"/>
        <c:tickLblPos val="nextTo"/>
        <c:crossAx val="71119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12700"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[Cleaned_HR_Data_Analysis14.xlsx]pivot table!PivotTable4</c:name>
    <c:fmtId val="19"/>
  </c:pivotSource>
  <c:chart>
    <c:title>
      <c:tx>
        <c:rich>
          <a:bodyPr rot="0" spcFirstLastPara="1" vertOverflow="ellipsis" vert="horz" wrap="square" anchor="ctr" anchorCtr="1"/>
          <a:lstStyle/>
          <a:p>
            <a:pPr algn="ctr">
              <a:defRPr sz="1400" b="0" i="0" u="none" strike="noStrike" kern="1200" spc="0" baseline="0">
                <a:solidFill>
                  <a:schemeClr val="tx1">
                    <a:alpha val="90000"/>
                  </a:schemeClr>
                </a:solidFill>
                <a:latin typeface="+mn-lt"/>
                <a:ea typeface="+mn-ea"/>
                <a:cs typeface="+mn-cs"/>
              </a:defRPr>
            </a:pPr>
            <a:r>
              <a:rPr lang="en-US" b="1"/>
              <a:t>Attrition</a:t>
            </a:r>
            <a:r>
              <a:rPr lang="en-US" b="1" baseline="0"/>
              <a:t> by Department</a:t>
            </a:r>
            <a:r>
              <a:rPr lang="en-US" b="1"/>
              <a:t> </a:t>
            </a:r>
          </a:p>
        </c:rich>
      </c:tx>
      <c:layout>
        <c:manualLayout>
          <c:xMode val="edge"/>
          <c:yMode val="edge"/>
          <c:x val="0.25669185558354329"/>
          <c:y val="3.562340966921119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alpha val="9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17216393290897E-2"/>
          <c:y val="0.17866842980505299"/>
          <c:w val="0.89257945442333353"/>
          <c:h val="0.58390815651860306"/>
        </c:manualLayout>
      </c:layout>
      <c:barChart>
        <c:barDir val="col"/>
        <c:grouping val="clustered"/>
        <c:varyColors val="0"/>
        <c:ser>
          <c:idx val="0"/>
          <c:order val="0"/>
          <c:tx>
            <c:strRef>
              <c:f>'pivot table'!$B$12:$B$13</c:f>
              <c:strCache>
                <c:ptCount val="1"/>
                <c:pt idx="0">
                  <c:v>Active</c:v>
                </c:pt>
              </c:strCache>
            </c:strRef>
          </c:tx>
          <c:spPr>
            <a:solidFill>
              <a:schemeClr val="accent1"/>
            </a:solidFill>
            <a:ln>
              <a:noFill/>
            </a:ln>
            <a:effectLst/>
          </c:spPr>
          <c:invertIfNegative val="0"/>
          <c:cat>
            <c:strRef>
              <c:f>'pivot table'!$A$14:$A$20</c:f>
              <c:strCache>
                <c:ptCount val="6"/>
                <c:pt idx="0">
                  <c:v>Admin Offices</c:v>
                </c:pt>
                <c:pt idx="1">
                  <c:v>Executive Office</c:v>
                </c:pt>
                <c:pt idx="2">
                  <c:v>IT/IS</c:v>
                </c:pt>
                <c:pt idx="3">
                  <c:v>Production       </c:v>
                </c:pt>
                <c:pt idx="4">
                  <c:v>Sales</c:v>
                </c:pt>
                <c:pt idx="5">
                  <c:v>Software Engineering</c:v>
                </c:pt>
              </c:strCache>
            </c:strRef>
          </c:cat>
          <c:val>
            <c:numRef>
              <c:f>'pivot table'!$B$14:$B$20</c:f>
              <c:numCache>
                <c:formatCode>General</c:formatCode>
                <c:ptCount val="6"/>
                <c:pt idx="0">
                  <c:v>61</c:v>
                </c:pt>
                <c:pt idx="1">
                  <c:v>19</c:v>
                </c:pt>
                <c:pt idx="2">
                  <c:v>157</c:v>
                </c:pt>
                <c:pt idx="3">
                  <c:v>440</c:v>
                </c:pt>
                <c:pt idx="4">
                  <c:v>104</c:v>
                </c:pt>
                <c:pt idx="5">
                  <c:v>65</c:v>
                </c:pt>
              </c:numCache>
            </c:numRef>
          </c:val>
          <c:extLst>
            <c:ext xmlns:c16="http://schemas.microsoft.com/office/drawing/2014/chart" uri="{C3380CC4-5D6E-409C-BE32-E72D297353CC}">
              <c16:uniqueId val="{00000000-46FD-4893-B842-C2E86F51AEAE}"/>
            </c:ext>
          </c:extLst>
        </c:ser>
        <c:ser>
          <c:idx val="1"/>
          <c:order val="1"/>
          <c:tx>
            <c:strRef>
              <c:f>'pivot table'!$C$12:$C$13</c:f>
              <c:strCache>
                <c:ptCount val="1"/>
                <c:pt idx="0">
                  <c:v>Inactive</c:v>
                </c:pt>
              </c:strCache>
            </c:strRef>
          </c:tx>
          <c:spPr>
            <a:solidFill>
              <a:schemeClr val="accent3"/>
            </a:solidFill>
            <a:ln>
              <a:noFill/>
            </a:ln>
            <a:effectLst/>
          </c:spPr>
          <c:invertIfNegative val="0"/>
          <c:cat>
            <c:strRef>
              <c:f>'pivot table'!$A$14:$A$20</c:f>
              <c:strCache>
                <c:ptCount val="6"/>
                <c:pt idx="0">
                  <c:v>Admin Offices</c:v>
                </c:pt>
                <c:pt idx="1">
                  <c:v>Executive Office</c:v>
                </c:pt>
                <c:pt idx="2">
                  <c:v>IT/IS</c:v>
                </c:pt>
                <c:pt idx="3">
                  <c:v>Production       </c:v>
                </c:pt>
                <c:pt idx="4">
                  <c:v>Sales</c:v>
                </c:pt>
                <c:pt idx="5">
                  <c:v>Software Engineering</c:v>
                </c:pt>
              </c:strCache>
            </c:strRef>
          </c:cat>
          <c:val>
            <c:numRef>
              <c:f>'pivot table'!$C$14:$C$20</c:f>
              <c:numCache>
                <c:formatCode>General</c:formatCode>
                <c:ptCount val="6"/>
                <c:pt idx="2">
                  <c:v>15</c:v>
                </c:pt>
                <c:pt idx="3">
                  <c:v>119</c:v>
                </c:pt>
                <c:pt idx="5">
                  <c:v>19</c:v>
                </c:pt>
              </c:numCache>
            </c:numRef>
          </c:val>
          <c:extLst>
            <c:ext xmlns:c16="http://schemas.microsoft.com/office/drawing/2014/chart" uri="{C3380CC4-5D6E-409C-BE32-E72D297353CC}">
              <c16:uniqueId val="{00000001-175E-46E6-8F28-58AA2EF58FBD}"/>
            </c:ext>
          </c:extLst>
        </c:ser>
        <c:dLbls>
          <c:showLegendKey val="0"/>
          <c:showVal val="0"/>
          <c:showCatName val="0"/>
          <c:showSerName val="0"/>
          <c:showPercent val="0"/>
          <c:showBubbleSize val="0"/>
        </c:dLbls>
        <c:gapWidth val="219"/>
        <c:overlap val="-27"/>
        <c:axId val="1961497888"/>
        <c:axId val="1961498848"/>
      </c:barChart>
      <c:catAx>
        <c:axId val="1961497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90000"/>
                  </a:schemeClr>
                </a:solidFill>
                <a:latin typeface="+mn-lt"/>
                <a:ea typeface="+mn-ea"/>
                <a:cs typeface="+mn-cs"/>
              </a:defRPr>
            </a:pPr>
            <a:endParaRPr lang="en-US"/>
          </a:p>
        </c:txPr>
        <c:crossAx val="1961498848"/>
        <c:crosses val="autoZero"/>
        <c:auto val="1"/>
        <c:lblAlgn val="ctr"/>
        <c:lblOffset val="100"/>
        <c:noMultiLvlLbl val="0"/>
      </c:catAx>
      <c:valAx>
        <c:axId val="1961498848"/>
        <c:scaling>
          <c:orientation val="minMax"/>
        </c:scaling>
        <c:delete val="1"/>
        <c:axPos val="l"/>
        <c:numFmt formatCode="General" sourceLinked="1"/>
        <c:majorTickMark val="out"/>
        <c:minorTickMark val="none"/>
        <c:tickLblPos val="nextTo"/>
        <c:crossAx val="1961497888"/>
        <c:crosses val="autoZero"/>
        <c:crossBetween val="between"/>
      </c:valAx>
      <c:spPr>
        <a:noFill/>
        <a:ln>
          <a:noFill/>
        </a:ln>
        <a:effectLst/>
      </c:spPr>
    </c:plotArea>
    <c:legend>
      <c:legendPos val="r"/>
      <c:layout>
        <c:manualLayout>
          <c:xMode val="edge"/>
          <c:yMode val="edge"/>
          <c:x val="0.79974242514396032"/>
          <c:y val="0.17516459297549639"/>
          <c:w val="0.1498797411028911"/>
          <c:h val="0.171756927330648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alpha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rot="0" anchor="ctr" anchorCtr="1"/>
    <a:lstStyle/>
    <a:p>
      <a:pPr>
        <a:defRPr>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[Cleaned_HR_Data_Analysis14.xlsx]pivot table!PivotTable6</c:name>
    <c:fmtId val="3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5875" cap="flat">
            <a:solidFill>
              <a:schemeClr val="tx1">
                <a:lumMod val="15000"/>
                <a:lumOff val="85000"/>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5875" cap="flat">
            <a:solidFill>
              <a:schemeClr val="tx1">
                <a:lumMod val="15000"/>
                <a:lumOff val="85000"/>
                <a:alpha val="91000"/>
              </a:schemeClr>
            </a:solidFill>
          </a:ln>
          <a:effectLst/>
        </c:spPr>
        <c:dLbl>
          <c:idx val="0"/>
          <c:layout>
            <c:manualLayout>
              <c:x val="-0.1763371886206532"/>
              <c:y val="-6.1166765342832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77000"/>
            </a:schemeClr>
          </a:solidFill>
          <a:ln w="15875" cap="flat">
            <a:solidFill>
              <a:schemeClr val="tx1">
                <a:lumMod val="15000"/>
                <a:lumOff val="85000"/>
                <a:alpha val="91000"/>
              </a:schemeClr>
            </a:solidFill>
          </a:ln>
          <a:effectLst/>
        </c:spPr>
        <c:dLbl>
          <c:idx val="0"/>
          <c:layout>
            <c:manualLayout>
              <c:x val="0.18887292934537026"/>
              <c:y val="4.21820939147948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flat">
            <a:solidFill>
              <a:schemeClr val="tx1">
                <a:lumMod val="15000"/>
                <a:lumOff val="85000"/>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76000"/>
            </a:schemeClr>
          </a:solidFill>
          <a:ln w="15875" cap="flat">
            <a:solidFill>
              <a:schemeClr val="tx1">
                <a:lumMod val="15000"/>
                <a:lumOff val="85000"/>
                <a:alpha val="91000"/>
              </a:schemeClr>
            </a:solidFill>
          </a:ln>
          <a:effectLst/>
        </c:spPr>
        <c:dLbl>
          <c:idx val="0"/>
          <c:layout>
            <c:manualLayout>
              <c:x val="-0.1763371886206532"/>
              <c:y val="-6.1166765342832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5875" cap="flat">
            <a:solidFill>
              <a:schemeClr val="tx1">
                <a:lumMod val="15000"/>
                <a:lumOff val="85000"/>
                <a:alpha val="91000"/>
              </a:schemeClr>
            </a:solidFill>
          </a:ln>
          <a:effectLst/>
        </c:spPr>
        <c:dLbl>
          <c:idx val="0"/>
          <c:layout>
            <c:manualLayout>
              <c:x val="0.18887292934537026"/>
              <c:y val="4.21820939147948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5875" cap="flat">
            <a:solidFill>
              <a:schemeClr val="tx1">
                <a:lumMod val="15000"/>
                <a:lumOff val="85000"/>
                <a:alpha val="91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5875" cap="flat">
            <a:solidFill>
              <a:schemeClr val="tx1">
                <a:lumMod val="15000"/>
                <a:lumOff val="85000"/>
                <a:alpha val="91000"/>
              </a:schemeClr>
            </a:solidFill>
          </a:ln>
          <a:effectLst/>
        </c:spPr>
        <c:dLbl>
          <c:idx val="0"/>
          <c:layout>
            <c:manualLayout>
              <c:x val="-0.1763371886206532"/>
              <c:y val="-6.116676534283246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77000"/>
            </a:schemeClr>
          </a:solidFill>
          <a:ln w="15875" cap="flat">
            <a:solidFill>
              <a:schemeClr val="tx1">
                <a:lumMod val="15000"/>
                <a:lumOff val="85000"/>
                <a:alpha val="91000"/>
              </a:schemeClr>
            </a:solidFill>
          </a:ln>
          <a:effectLst/>
        </c:spPr>
        <c:dLbl>
          <c:idx val="0"/>
          <c:layout>
            <c:manualLayout>
              <c:x val="0.18887292934537026"/>
              <c:y val="4.2182093914794876E-2"/>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00327676431754"/>
          <c:y val="0.17152298989724707"/>
          <c:w val="0.5308221254951826"/>
          <c:h val="0.66249920140763852"/>
        </c:manualLayout>
      </c:layout>
      <c:pieChart>
        <c:varyColors val="1"/>
        <c:ser>
          <c:idx val="0"/>
          <c:order val="0"/>
          <c:tx>
            <c:strRef>
              <c:f>'pivot table'!$E$3</c:f>
              <c:strCache>
                <c:ptCount val="1"/>
                <c:pt idx="0">
                  <c:v>Total</c:v>
                </c:pt>
              </c:strCache>
            </c:strRef>
          </c:tx>
          <c:spPr>
            <a:ln w="15875" cap="flat">
              <a:solidFill>
                <a:schemeClr val="tx1">
                  <a:lumMod val="15000"/>
                  <a:lumOff val="85000"/>
                  <a:alpha val="91000"/>
                </a:schemeClr>
              </a:solidFill>
            </a:ln>
          </c:spPr>
          <c:dPt>
            <c:idx val="0"/>
            <c:bubble3D val="0"/>
            <c:spPr>
              <a:solidFill>
                <a:schemeClr val="accent1">
                  <a:shade val="76000"/>
                </a:schemeClr>
              </a:solidFill>
              <a:ln w="15875" cap="flat">
                <a:solidFill>
                  <a:schemeClr val="tx1">
                    <a:lumMod val="15000"/>
                    <a:lumOff val="85000"/>
                    <a:alpha val="91000"/>
                  </a:schemeClr>
                </a:solidFill>
              </a:ln>
              <a:effectLst/>
            </c:spPr>
            <c:extLst>
              <c:ext xmlns:c16="http://schemas.microsoft.com/office/drawing/2014/chart" uri="{C3380CC4-5D6E-409C-BE32-E72D297353CC}">
                <c16:uniqueId val="{00000001-9C9C-44BB-AF82-E11465CD9951}"/>
              </c:ext>
            </c:extLst>
          </c:dPt>
          <c:dPt>
            <c:idx val="1"/>
            <c:bubble3D val="0"/>
            <c:spPr>
              <a:solidFill>
                <a:schemeClr val="accent1">
                  <a:tint val="77000"/>
                </a:schemeClr>
              </a:solidFill>
              <a:ln w="15875" cap="flat">
                <a:solidFill>
                  <a:schemeClr val="tx1">
                    <a:lumMod val="15000"/>
                    <a:lumOff val="85000"/>
                    <a:alpha val="91000"/>
                  </a:schemeClr>
                </a:solidFill>
              </a:ln>
              <a:effectLst/>
            </c:spPr>
            <c:extLst>
              <c:ext xmlns:c16="http://schemas.microsoft.com/office/drawing/2014/chart" uri="{C3380CC4-5D6E-409C-BE32-E72D297353CC}">
                <c16:uniqueId val="{00000003-9C9C-44BB-AF82-E11465CD995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General</c:formatCode>
                <c:ptCount val="2"/>
                <c:pt idx="0">
                  <c:v>546</c:v>
                </c:pt>
                <c:pt idx="1">
                  <c:v>453</c:v>
                </c:pt>
              </c:numCache>
            </c:numRef>
          </c:val>
          <c:extLst>
            <c:ext xmlns:c16="http://schemas.microsoft.com/office/drawing/2014/chart" uri="{C3380CC4-5D6E-409C-BE32-E72D297353CC}">
              <c16:uniqueId val="{00000004-9C9C-44BB-AF82-E11465CD99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4864497382287662"/>
          <c:y val="0.85786073281683572"/>
          <c:w val="0.29963427061070275"/>
          <c:h val="8.72099482023838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[Cleaned_HR_Data_Analysis14.xlsx]pivot table!PivotTable1</c:name>
    <c:fmtId val="4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Performance Analysis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44911715581009"/>
          <c:y val="0.14740368509212731"/>
          <c:w val="0.60539936769267477"/>
          <c:h val="0.69932919189121456"/>
        </c:manualLayout>
      </c:layout>
      <c:barChart>
        <c:barDir val="bar"/>
        <c:grouping val="stacked"/>
        <c:varyColors val="0"/>
        <c:ser>
          <c:idx val="0"/>
          <c:order val="0"/>
          <c:tx>
            <c:strRef>
              <c:f>'pivot table'!$F$8:$F$9</c:f>
              <c:strCache>
                <c:ptCount val="1"/>
                <c:pt idx="0">
                  <c:v>Exceeds</c:v>
                </c:pt>
              </c:strCache>
            </c:strRef>
          </c:tx>
          <c:spPr>
            <a:solidFill>
              <a:schemeClr val="accent1"/>
            </a:solidFill>
            <a:ln>
              <a:noFill/>
            </a:ln>
            <a:effectLst/>
          </c:spPr>
          <c:invertIfNegative val="0"/>
          <c:cat>
            <c:strRef>
              <c:f>'pivot table'!$E$10:$E$16</c:f>
              <c:strCache>
                <c:ptCount val="6"/>
                <c:pt idx="0">
                  <c:v>Admin Offices</c:v>
                </c:pt>
                <c:pt idx="1">
                  <c:v>Executive Office</c:v>
                </c:pt>
                <c:pt idx="2">
                  <c:v>IT/IS</c:v>
                </c:pt>
                <c:pt idx="3">
                  <c:v>Production       </c:v>
                </c:pt>
                <c:pt idx="4">
                  <c:v>Sales</c:v>
                </c:pt>
                <c:pt idx="5">
                  <c:v>Software Engineering</c:v>
                </c:pt>
              </c:strCache>
            </c:strRef>
          </c:cat>
          <c:val>
            <c:numRef>
              <c:f>'pivot table'!$F$10:$F$16</c:f>
              <c:numCache>
                <c:formatCode>General</c:formatCode>
                <c:ptCount val="6"/>
                <c:pt idx="0">
                  <c:v>16</c:v>
                </c:pt>
                <c:pt idx="1">
                  <c:v>1</c:v>
                </c:pt>
                <c:pt idx="2">
                  <c:v>17</c:v>
                </c:pt>
                <c:pt idx="3">
                  <c:v>96</c:v>
                </c:pt>
                <c:pt idx="4">
                  <c:v>17</c:v>
                </c:pt>
              </c:numCache>
            </c:numRef>
          </c:val>
          <c:extLst>
            <c:ext xmlns:c16="http://schemas.microsoft.com/office/drawing/2014/chart" uri="{C3380CC4-5D6E-409C-BE32-E72D297353CC}">
              <c16:uniqueId val="{00000000-C20D-4943-B026-F462B0C62E81}"/>
            </c:ext>
          </c:extLst>
        </c:ser>
        <c:ser>
          <c:idx val="1"/>
          <c:order val="1"/>
          <c:tx>
            <c:strRef>
              <c:f>'pivot table'!$G$8:$G$9</c:f>
              <c:strCache>
                <c:ptCount val="1"/>
                <c:pt idx="0">
                  <c:v>Fully Meets</c:v>
                </c:pt>
              </c:strCache>
            </c:strRef>
          </c:tx>
          <c:spPr>
            <a:solidFill>
              <a:schemeClr val="accent3"/>
            </a:solidFill>
            <a:ln>
              <a:noFill/>
            </a:ln>
            <a:effectLst/>
          </c:spPr>
          <c:invertIfNegative val="0"/>
          <c:cat>
            <c:strRef>
              <c:f>'pivot table'!$E$10:$E$16</c:f>
              <c:strCache>
                <c:ptCount val="6"/>
                <c:pt idx="0">
                  <c:v>Admin Offices</c:v>
                </c:pt>
                <c:pt idx="1">
                  <c:v>Executive Office</c:v>
                </c:pt>
                <c:pt idx="2">
                  <c:v>IT/IS</c:v>
                </c:pt>
                <c:pt idx="3">
                  <c:v>Production       </c:v>
                </c:pt>
                <c:pt idx="4">
                  <c:v>Sales</c:v>
                </c:pt>
                <c:pt idx="5">
                  <c:v>Software Engineering</c:v>
                </c:pt>
              </c:strCache>
            </c:strRef>
          </c:cat>
          <c:val>
            <c:numRef>
              <c:f>'pivot table'!$G$10:$G$16</c:f>
              <c:numCache>
                <c:formatCode>General</c:formatCode>
                <c:ptCount val="6"/>
                <c:pt idx="0">
                  <c:v>40</c:v>
                </c:pt>
                <c:pt idx="1">
                  <c:v>12</c:v>
                </c:pt>
                <c:pt idx="2">
                  <c:v>131</c:v>
                </c:pt>
                <c:pt idx="3">
                  <c:v>410</c:v>
                </c:pt>
                <c:pt idx="4">
                  <c:v>78</c:v>
                </c:pt>
                <c:pt idx="5">
                  <c:v>84</c:v>
                </c:pt>
              </c:numCache>
            </c:numRef>
          </c:val>
          <c:extLst>
            <c:ext xmlns:c16="http://schemas.microsoft.com/office/drawing/2014/chart" uri="{C3380CC4-5D6E-409C-BE32-E72D297353CC}">
              <c16:uniqueId val="{0000000E-C20D-4943-B026-F462B0C62E81}"/>
            </c:ext>
          </c:extLst>
        </c:ser>
        <c:ser>
          <c:idx val="2"/>
          <c:order val="2"/>
          <c:tx>
            <c:strRef>
              <c:f>'pivot table'!$H$8:$H$9</c:f>
              <c:strCache>
                <c:ptCount val="1"/>
                <c:pt idx="0">
                  <c:v>Needs Improvement</c:v>
                </c:pt>
              </c:strCache>
            </c:strRef>
          </c:tx>
          <c:spPr>
            <a:solidFill>
              <a:schemeClr val="accent5"/>
            </a:solidFill>
            <a:ln>
              <a:noFill/>
            </a:ln>
            <a:effectLst/>
          </c:spPr>
          <c:invertIfNegative val="0"/>
          <c:cat>
            <c:strRef>
              <c:f>'pivot table'!$E$10:$E$16</c:f>
              <c:strCache>
                <c:ptCount val="6"/>
                <c:pt idx="0">
                  <c:v>Admin Offices</c:v>
                </c:pt>
                <c:pt idx="1">
                  <c:v>Executive Office</c:v>
                </c:pt>
                <c:pt idx="2">
                  <c:v>IT/IS</c:v>
                </c:pt>
                <c:pt idx="3">
                  <c:v>Production       </c:v>
                </c:pt>
                <c:pt idx="4">
                  <c:v>Sales</c:v>
                </c:pt>
                <c:pt idx="5">
                  <c:v>Software Engineering</c:v>
                </c:pt>
              </c:strCache>
            </c:strRef>
          </c:cat>
          <c:val>
            <c:numRef>
              <c:f>'pivot table'!$H$10:$H$16</c:f>
              <c:numCache>
                <c:formatCode>General</c:formatCode>
                <c:ptCount val="6"/>
                <c:pt idx="1">
                  <c:v>1</c:v>
                </c:pt>
                <c:pt idx="2">
                  <c:v>10</c:v>
                </c:pt>
                <c:pt idx="3">
                  <c:v>42</c:v>
                </c:pt>
                <c:pt idx="4">
                  <c:v>9</c:v>
                </c:pt>
              </c:numCache>
            </c:numRef>
          </c:val>
          <c:extLst>
            <c:ext xmlns:c16="http://schemas.microsoft.com/office/drawing/2014/chart" uri="{C3380CC4-5D6E-409C-BE32-E72D297353CC}">
              <c16:uniqueId val="{00000001-614E-4FD8-A812-08AAA004BA0D}"/>
            </c:ext>
          </c:extLst>
        </c:ser>
        <c:ser>
          <c:idx val="3"/>
          <c:order val="3"/>
          <c:tx>
            <c:strRef>
              <c:f>'pivot table'!$I$8:$I$9</c:f>
              <c:strCache>
                <c:ptCount val="1"/>
                <c:pt idx="0">
                  <c:v>PIP</c:v>
                </c:pt>
              </c:strCache>
            </c:strRef>
          </c:tx>
          <c:spPr>
            <a:solidFill>
              <a:schemeClr val="accent1">
                <a:lumMod val="60000"/>
              </a:schemeClr>
            </a:solidFill>
            <a:ln>
              <a:noFill/>
            </a:ln>
            <a:effectLst/>
          </c:spPr>
          <c:invertIfNegative val="0"/>
          <c:cat>
            <c:strRef>
              <c:f>'pivot table'!$E$10:$E$16</c:f>
              <c:strCache>
                <c:ptCount val="6"/>
                <c:pt idx="0">
                  <c:v>Admin Offices</c:v>
                </c:pt>
                <c:pt idx="1">
                  <c:v>Executive Office</c:v>
                </c:pt>
                <c:pt idx="2">
                  <c:v>IT/IS</c:v>
                </c:pt>
                <c:pt idx="3">
                  <c:v>Production       </c:v>
                </c:pt>
                <c:pt idx="4">
                  <c:v>Sales</c:v>
                </c:pt>
                <c:pt idx="5">
                  <c:v>Software Engineering</c:v>
                </c:pt>
              </c:strCache>
            </c:strRef>
          </c:cat>
          <c:val>
            <c:numRef>
              <c:f>'pivot table'!$I$10:$I$16</c:f>
              <c:numCache>
                <c:formatCode>General</c:formatCode>
                <c:ptCount val="6"/>
                <c:pt idx="0">
                  <c:v>5</c:v>
                </c:pt>
                <c:pt idx="1">
                  <c:v>5</c:v>
                </c:pt>
                <c:pt idx="2">
                  <c:v>14</c:v>
                </c:pt>
                <c:pt idx="3">
                  <c:v>11</c:v>
                </c:pt>
              </c:numCache>
            </c:numRef>
          </c:val>
          <c:extLst>
            <c:ext xmlns:c16="http://schemas.microsoft.com/office/drawing/2014/chart" uri="{C3380CC4-5D6E-409C-BE32-E72D297353CC}">
              <c16:uniqueId val="{00000001-17E2-4029-A78D-369607F5B554}"/>
            </c:ext>
          </c:extLst>
        </c:ser>
        <c:dLbls>
          <c:showLegendKey val="0"/>
          <c:showVal val="0"/>
          <c:showCatName val="0"/>
          <c:showSerName val="0"/>
          <c:showPercent val="0"/>
          <c:showBubbleSize val="0"/>
        </c:dLbls>
        <c:gapWidth val="182"/>
        <c:overlap val="100"/>
        <c:axId val="1493708511"/>
        <c:axId val="1493689791"/>
      </c:barChart>
      <c:catAx>
        <c:axId val="149370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3689791"/>
        <c:crosses val="autoZero"/>
        <c:auto val="1"/>
        <c:lblAlgn val="ctr"/>
        <c:lblOffset val="100"/>
        <c:noMultiLvlLbl val="0"/>
      </c:catAx>
      <c:valAx>
        <c:axId val="1493689791"/>
        <c:scaling>
          <c:orientation val="minMax"/>
        </c:scaling>
        <c:delete val="1"/>
        <c:axPos val="b"/>
        <c:numFmt formatCode="General" sourceLinked="1"/>
        <c:majorTickMark val="none"/>
        <c:minorTickMark val="none"/>
        <c:tickLblPos val="nextTo"/>
        <c:crossAx val="1493708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[Cleaned_HR_Data_Analysis14.xlsx]pivot table!PivotTable2</c:name>
    <c:fmtId val="4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Engagement</a:t>
            </a:r>
            <a:r>
              <a:rPr lang="en-US" b="1" baseline="0"/>
              <a:t> &amp; Satisfaction</a:t>
            </a:r>
            <a:r>
              <a:rPr lang="en-US"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Average of Engagement Score</c:v>
                </c:pt>
              </c:strCache>
            </c:strRef>
          </c:tx>
          <c:spPr>
            <a:solidFill>
              <a:schemeClr val="accent5">
                <a:shade val="76000"/>
              </a:schemeClr>
            </a:solidFill>
            <a:ln>
              <a:noFill/>
            </a:ln>
            <a:effectLst/>
          </c:spPr>
          <c:invertIfNegative val="0"/>
          <c:cat>
            <c:strRef>
              <c:f>'pivot table'!$A$23:$A$29</c:f>
              <c:strCache>
                <c:ptCount val="6"/>
                <c:pt idx="0">
                  <c:v>Admin Offices</c:v>
                </c:pt>
                <c:pt idx="1">
                  <c:v>Executive Office</c:v>
                </c:pt>
                <c:pt idx="2">
                  <c:v>IT/IS</c:v>
                </c:pt>
                <c:pt idx="3">
                  <c:v>Production       </c:v>
                </c:pt>
                <c:pt idx="4">
                  <c:v>Sales</c:v>
                </c:pt>
                <c:pt idx="5">
                  <c:v>Software Engineering</c:v>
                </c:pt>
              </c:strCache>
            </c:strRef>
          </c:cat>
          <c:val>
            <c:numRef>
              <c:f>'pivot table'!$B$23:$B$29</c:f>
              <c:numCache>
                <c:formatCode>General</c:formatCode>
                <c:ptCount val="6"/>
                <c:pt idx="0">
                  <c:v>2.9344262295081966</c:v>
                </c:pt>
                <c:pt idx="1">
                  <c:v>3.5789473684210527</c:v>
                </c:pt>
                <c:pt idx="2">
                  <c:v>3.1860465116279069</c:v>
                </c:pt>
                <c:pt idx="3">
                  <c:v>2.7906976744186047</c:v>
                </c:pt>
                <c:pt idx="4">
                  <c:v>2.9038461538461537</c:v>
                </c:pt>
                <c:pt idx="5">
                  <c:v>3.0238095238095237</c:v>
                </c:pt>
              </c:numCache>
            </c:numRef>
          </c:val>
          <c:extLst>
            <c:ext xmlns:c16="http://schemas.microsoft.com/office/drawing/2014/chart" uri="{C3380CC4-5D6E-409C-BE32-E72D297353CC}">
              <c16:uniqueId val="{00000000-52AD-46B9-9AE4-A0ABB5132EA7}"/>
            </c:ext>
          </c:extLst>
        </c:ser>
        <c:ser>
          <c:idx val="1"/>
          <c:order val="1"/>
          <c:tx>
            <c:strRef>
              <c:f>'pivot table'!$C$22</c:f>
              <c:strCache>
                <c:ptCount val="1"/>
                <c:pt idx="0">
                  <c:v>Average of Satisfaction Score</c:v>
                </c:pt>
              </c:strCache>
            </c:strRef>
          </c:tx>
          <c:spPr>
            <a:solidFill>
              <a:schemeClr val="accent5">
                <a:tint val="77000"/>
              </a:schemeClr>
            </a:solidFill>
            <a:ln>
              <a:noFill/>
            </a:ln>
            <a:effectLst/>
          </c:spPr>
          <c:invertIfNegative val="0"/>
          <c:cat>
            <c:strRef>
              <c:f>'pivot table'!$A$23:$A$29</c:f>
              <c:strCache>
                <c:ptCount val="6"/>
                <c:pt idx="0">
                  <c:v>Admin Offices</c:v>
                </c:pt>
                <c:pt idx="1">
                  <c:v>Executive Office</c:v>
                </c:pt>
                <c:pt idx="2">
                  <c:v>IT/IS</c:v>
                </c:pt>
                <c:pt idx="3">
                  <c:v>Production       </c:v>
                </c:pt>
                <c:pt idx="4">
                  <c:v>Sales</c:v>
                </c:pt>
                <c:pt idx="5">
                  <c:v>Software Engineering</c:v>
                </c:pt>
              </c:strCache>
            </c:strRef>
          </c:cat>
          <c:val>
            <c:numRef>
              <c:f>'pivot table'!$C$23:$C$29</c:f>
              <c:numCache>
                <c:formatCode>General</c:formatCode>
                <c:ptCount val="6"/>
                <c:pt idx="0">
                  <c:v>2.442622950819672</c:v>
                </c:pt>
                <c:pt idx="1">
                  <c:v>3.1052631578947367</c:v>
                </c:pt>
                <c:pt idx="2">
                  <c:v>3.0697674418604652</c:v>
                </c:pt>
                <c:pt idx="3">
                  <c:v>3.0232558139534884</c:v>
                </c:pt>
                <c:pt idx="4">
                  <c:v>3.25</c:v>
                </c:pt>
                <c:pt idx="5">
                  <c:v>3.0357142857142856</c:v>
                </c:pt>
              </c:numCache>
            </c:numRef>
          </c:val>
          <c:extLst>
            <c:ext xmlns:c16="http://schemas.microsoft.com/office/drawing/2014/chart" uri="{C3380CC4-5D6E-409C-BE32-E72D297353CC}">
              <c16:uniqueId val="{00000001-52AD-46B9-9AE4-A0ABB5132EA7}"/>
            </c:ext>
          </c:extLst>
        </c:ser>
        <c:dLbls>
          <c:showLegendKey val="0"/>
          <c:showVal val="0"/>
          <c:showCatName val="0"/>
          <c:showSerName val="0"/>
          <c:showPercent val="0"/>
          <c:showBubbleSize val="0"/>
        </c:dLbls>
        <c:gapWidth val="219"/>
        <c:axId val="1493677311"/>
        <c:axId val="1493661951"/>
      </c:barChart>
      <c:catAx>
        <c:axId val="1493677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3661951"/>
        <c:crosses val="autoZero"/>
        <c:auto val="1"/>
        <c:lblAlgn val="ctr"/>
        <c:lblOffset val="100"/>
        <c:noMultiLvlLbl val="0"/>
      </c:catAx>
      <c:valAx>
        <c:axId val="1493661951"/>
        <c:scaling>
          <c:orientation val="minMax"/>
        </c:scaling>
        <c:delete val="1"/>
        <c:axPos val="l"/>
        <c:numFmt formatCode="General" sourceLinked="1"/>
        <c:majorTickMark val="out"/>
        <c:minorTickMark val="none"/>
        <c:tickLblPos val="nextTo"/>
        <c:crossAx val="149367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104775</xdr:colOff>
      <xdr:row>14</xdr:row>
      <xdr:rowOff>109537</xdr:rowOff>
    </xdr:from>
    <xdr:to>
      <xdr:col>1</xdr:col>
      <xdr:colOff>619125</xdr:colOff>
      <xdr:row>17</xdr:row>
      <xdr:rowOff>142875</xdr:rowOff>
    </xdr:to>
    <xdr:graphicFrame macro="">
      <xdr:nvGraphicFramePr>
        <xdr:cNvPr id="2" name="Chart 1">
          <a:extLst>
            <a:ext uri="{FF2B5EF4-FFF2-40B4-BE49-F238E27FC236}">
              <a16:creationId xmlns:a16="http://schemas.microsoft.com/office/drawing/2014/main" id="{2CFA525D-41C4-9DEF-AD92-A3F1546B1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80963</xdr:rowOff>
    </xdr:from>
    <xdr:to>
      <xdr:col>2</xdr:col>
      <xdr:colOff>266699</xdr:colOff>
      <xdr:row>18</xdr:row>
      <xdr:rowOff>133350</xdr:rowOff>
    </xdr:to>
    <xdr:graphicFrame macro="">
      <xdr:nvGraphicFramePr>
        <xdr:cNvPr id="5" name="Chart 4">
          <a:extLst>
            <a:ext uri="{FF2B5EF4-FFF2-40B4-BE49-F238E27FC236}">
              <a16:creationId xmlns:a16="http://schemas.microsoft.com/office/drawing/2014/main" id="{E3CEC949-493F-45B6-24E9-442F1EF78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42862</xdr:rowOff>
    </xdr:from>
    <xdr:to>
      <xdr:col>1</xdr:col>
      <xdr:colOff>504825</xdr:colOff>
      <xdr:row>7</xdr:row>
      <xdr:rowOff>76200</xdr:rowOff>
    </xdr:to>
    <xdr:graphicFrame macro="">
      <xdr:nvGraphicFramePr>
        <xdr:cNvPr id="6" name="Chart 5">
          <a:extLst>
            <a:ext uri="{FF2B5EF4-FFF2-40B4-BE49-F238E27FC236}">
              <a16:creationId xmlns:a16="http://schemas.microsoft.com/office/drawing/2014/main" id="{072D79AD-5643-4E23-9C48-30CE2E678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xdr:row>
      <xdr:rowOff>109538</xdr:rowOff>
    </xdr:from>
    <xdr:to>
      <xdr:col>2</xdr:col>
      <xdr:colOff>152400</xdr:colOff>
      <xdr:row>18</xdr:row>
      <xdr:rowOff>47626</xdr:rowOff>
    </xdr:to>
    <xdr:graphicFrame macro="">
      <xdr:nvGraphicFramePr>
        <xdr:cNvPr id="8" name="Chart 7">
          <a:extLst>
            <a:ext uri="{FF2B5EF4-FFF2-40B4-BE49-F238E27FC236}">
              <a16:creationId xmlns:a16="http://schemas.microsoft.com/office/drawing/2014/main" id="{4E80A34B-D038-6253-97EA-FFA375A25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495300</xdr:colOff>
      <xdr:row>4</xdr:row>
      <xdr:rowOff>14287</xdr:rowOff>
    </xdr:from>
    <xdr:to>
      <xdr:col>1</xdr:col>
      <xdr:colOff>857251</xdr:colOff>
      <xdr:row>10</xdr:row>
      <xdr:rowOff>161925</xdr:rowOff>
    </xdr:to>
    <xdr:graphicFrame macro="">
      <xdr:nvGraphicFramePr>
        <xdr:cNvPr id="3" name="Chart 2">
          <a:extLst>
            <a:ext uri="{FF2B5EF4-FFF2-40B4-BE49-F238E27FC236}">
              <a16:creationId xmlns:a16="http://schemas.microsoft.com/office/drawing/2014/main" id="{FF02E1C8-00DC-31F2-F6E7-63101ECDB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714376</xdr:colOff>
      <xdr:row>12</xdr:row>
      <xdr:rowOff>138113</xdr:rowOff>
    </xdr:from>
    <xdr:to>
      <xdr:col>1</xdr:col>
      <xdr:colOff>1238250</xdr:colOff>
      <xdr:row>23</xdr:row>
      <xdr:rowOff>76200</xdr:rowOff>
    </xdr:to>
    <xdr:graphicFrame macro="">
      <xdr:nvGraphicFramePr>
        <xdr:cNvPr id="4" name="Chart 3">
          <a:extLst>
            <a:ext uri="{FF2B5EF4-FFF2-40B4-BE49-F238E27FC236}">
              <a16:creationId xmlns:a16="http://schemas.microsoft.com/office/drawing/2014/main" id="{A0F23F01-9E52-04EB-1D69-C647222AA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1562100</xdr:colOff>
      <xdr:row>22</xdr:row>
      <xdr:rowOff>114300</xdr:rowOff>
    </xdr:from>
    <xdr:to>
      <xdr:col>4</xdr:col>
      <xdr:colOff>704850</xdr:colOff>
      <xdr:row>35</xdr:row>
      <xdr:rowOff>161925</xdr:rowOff>
    </xdr:to>
    <mc:AlternateContent xmlns:mc="http://schemas.openxmlformats.org/markup-compatibility/2006" xmlns:a14="http://schemas.microsoft.com/office/drawing/2010/main">
      <mc:Choice Requires="a14">
        <xdr:graphicFrame macro="">
          <xdr:nvGraphicFramePr>
            <xdr:cNvPr id="7" name="BusinessUnit">
              <a:extLst>
                <a:ext uri="{FF2B5EF4-FFF2-40B4-BE49-F238E27FC236}">
                  <a16:creationId xmlns:a16="http://schemas.microsoft.com/office/drawing/2014/main" id="{07395C0C-3D20-6041-219E-EE64BB05C7B1}"/>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2981325" y="430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619125</xdr:colOff>
      <xdr:row>24</xdr:row>
      <xdr:rowOff>19050</xdr:rowOff>
    </xdr:from>
    <xdr:to>
      <xdr:col>6</xdr:col>
      <xdr:colOff>1619250</xdr:colOff>
      <xdr:row>37</xdr:row>
      <xdr:rowOff>66675</xdr:rowOff>
    </xdr:to>
    <mc:AlternateContent xmlns:mc="http://schemas.openxmlformats.org/markup-compatibility/2006" xmlns:a14="http://schemas.microsoft.com/office/drawing/2010/main">
      <mc:Choice Requires="a14">
        <xdr:graphicFrame macro="">
          <xdr:nvGraphicFramePr>
            <xdr:cNvPr id="9" name="EmployeeType">
              <a:extLst>
                <a:ext uri="{FF2B5EF4-FFF2-40B4-BE49-F238E27FC236}">
                  <a16:creationId xmlns:a16="http://schemas.microsoft.com/office/drawing/2014/main" id="{25291929-DC2B-AD45-CB76-2D98C6DCE3C5}"/>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mlns="">
        <xdr:sp macro="" textlink="">
          <xdr:nvSpPr>
            <xdr:cNvPr id="0" name=""/>
            <xdr:cNvSpPr>
              <a:spLocks noTextEdit="1"/>
            </xdr:cNvSpPr>
          </xdr:nvSpPr>
          <xdr:spPr>
            <a:xfrm>
              <a:off x="5838825" y="4591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161925</xdr:colOff>
      <xdr:row>24</xdr:row>
      <xdr:rowOff>180975</xdr:rowOff>
    </xdr:from>
    <xdr:to>
      <xdr:col>5</xdr:col>
      <xdr:colOff>628650</xdr:colOff>
      <xdr:row>38</xdr:row>
      <xdr:rowOff>38100</xdr:rowOff>
    </xdr:to>
    <mc:AlternateContent xmlns:mc="http://schemas.openxmlformats.org/markup-compatibility/2006" xmlns:a14="http://schemas.microsoft.com/office/drawing/2010/main">
      <mc:Choice Requires="a14">
        <xdr:graphicFrame macro="">
          <xdr:nvGraphicFramePr>
            <xdr:cNvPr id="10" name="DepartmentType">
              <a:extLst>
                <a:ext uri="{FF2B5EF4-FFF2-40B4-BE49-F238E27FC236}">
                  <a16:creationId xmlns:a16="http://schemas.microsoft.com/office/drawing/2014/main" id="{1D6921D9-0F85-9AB7-E507-C9765D3ADFD4}"/>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4019550" y="475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276225</xdr:colOff>
      <xdr:row>26</xdr:row>
      <xdr:rowOff>85725</xdr:rowOff>
    </xdr:from>
    <xdr:to>
      <xdr:col>2</xdr:col>
      <xdr:colOff>247650</xdr:colOff>
      <xdr:row>39</xdr:row>
      <xdr:rowOff>133350</xdr:rowOff>
    </xdr:to>
    <mc:AlternateContent xmlns:mc="http://schemas.openxmlformats.org/markup-compatibility/2006" xmlns:a14="http://schemas.microsoft.com/office/drawing/2010/main">
      <mc:Choice Requires="a14">
        <xdr:graphicFrame macro="">
          <xdr:nvGraphicFramePr>
            <xdr:cNvPr id="11" name="GenderCode">
              <a:extLst>
                <a:ext uri="{FF2B5EF4-FFF2-40B4-BE49-F238E27FC236}">
                  <a16:creationId xmlns:a16="http://schemas.microsoft.com/office/drawing/2014/main" id="{37B8428A-9C7E-284F-F8FC-30D06F03BB3D}"/>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638300" y="5038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152398</xdr:colOff>
      <xdr:row>0</xdr:row>
      <xdr:rowOff>133350</xdr:rowOff>
    </xdr:from>
    <xdr:to>
      <xdr:col>7</xdr:col>
      <xdr:colOff>19049</xdr:colOff>
      <xdr:row>3</xdr:row>
      <xdr:rowOff>114300</xdr:rowOff>
    </xdr:to>
    <xdr:sp macro="" textlink="">
      <xdr:nvSpPr>
        <xdr:cNvPr id="3" name="TextBox 2">
          <a:extLst>
            <a:ext uri="{FF2B5EF4-FFF2-40B4-BE49-F238E27FC236}">
              <a16:creationId xmlns:a16="http://schemas.microsoft.com/office/drawing/2014/main" id="{202B398E-7BE1-039B-999A-115823403495}"/>
            </a:ext>
          </a:extLst>
        </xdr:cNvPr>
        <xdr:cNvSpPr txBox="1"/>
      </xdr:nvSpPr>
      <xdr:spPr>
        <a:xfrm>
          <a:off x="152398" y="133350"/>
          <a:ext cx="4133851" cy="552450"/>
        </a:xfrm>
        <a:prstGeom prst="rect">
          <a:avLst/>
        </a:prstGeom>
        <a:solidFill>
          <a:schemeClr val="accent5">
            <a:lumMod val="40000"/>
            <a:lumOff val="60000"/>
          </a:schemeClr>
        </a:solidFill>
        <a:ln w="9525" cmpd="sng">
          <a:solidFill>
            <a:schemeClr val="lt1">
              <a:shade val="50000"/>
            </a:schemeClr>
          </a:solidFill>
        </a:ln>
        <a:effectLst>
          <a:glow rad="76200">
            <a:schemeClr val="accent5">
              <a:satMod val="175000"/>
              <a:alpha val="58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1"/>
              </a:solidFill>
              <a:latin typeface="Times New Roman" panose="02020603050405020304" pitchFamily="18" charset="0"/>
              <a:cs typeface="Times New Roman" panose="02020603050405020304" pitchFamily="18" charset="0"/>
            </a:rPr>
            <a:t>HR DATA ANALYSIS DASHBOARD</a:t>
          </a:r>
        </a:p>
      </xdr:txBody>
    </xdr:sp>
    <xdr:clientData/>
  </xdr:twoCellAnchor>
  <xdr:twoCellAnchor>
    <xdr:from>
      <xdr:col>6</xdr:col>
      <xdr:colOff>304801</xdr:colOff>
      <xdr:row>5</xdr:row>
      <xdr:rowOff>76201</xdr:rowOff>
    </xdr:from>
    <xdr:to>
      <xdr:col>11</xdr:col>
      <xdr:colOff>133351</xdr:colOff>
      <xdr:row>18</xdr:row>
      <xdr:rowOff>123825</xdr:rowOff>
    </xdr:to>
    <xdr:graphicFrame macro="">
      <xdr:nvGraphicFramePr>
        <xdr:cNvPr id="6" name="Chart 5">
          <a:extLst>
            <a:ext uri="{FF2B5EF4-FFF2-40B4-BE49-F238E27FC236}">
              <a16:creationId xmlns:a16="http://schemas.microsoft.com/office/drawing/2014/main" id="{FD1D2A99-48CA-41CC-BB97-E1538A5BD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247650</xdr:colOff>
      <xdr:row>5</xdr:row>
      <xdr:rowOff>66675</xdr:rowOff>
    </xdr:from>
    <xdr:to>
      <xdr:col>17</xdr:col>
      <xdr:colOff>371475</xdr:colOff>
      <xdr:row>18</xdr:row>
      <xdr:rowOff>85725</xdr:rowOff>
    </xdr:to>
    <xdr:graphicFrame macro="">
      <xdr:nvGraphicFramePr>
        <xdr:cNvPr id="7" name="Chart 6">
          <a:extLst>
            <a:ext uri="{FF2B5EF4-FFF2-40B4-BE49-F238E27FC236}">
              <a16:creationId xmlns:a16="http://schemas.microsoft.com/office/drawing/2014/main" id="{1650A0AE-FD1B-438D-BDE1-9B1A990FA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19</xdr:row>
      <xdr:rowOff>19050</xdr:rowOff>
    </xdr:from>
    <xdr:to>
      <xdr:col>5</xdr:col>
      <xdr:colOff>419101</xdr:colOff>
      <xdr:row>31</xdr:row>
      <xdr:rowOff>190499</xdr:rowOff>
    </xdr:to>
    <xdr:graphicFrame macro="">
      <xdr:nvGraphicFramePr>
        <xdr:cNvPr id="8" name="Chart 7">
          <a:extLst>
            <a:ext uri="{FF2B5EF4-FFF2-40B4-BE49-F238E27FC236}">
              <a16:creationId xmlns:a16="http://schemas.microsoft.com/office/drawing/2014/main" id="{606C12BC-FB26-4E7A-8EF6-CAB6303C1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523876</xdr:colOff>
      <xdr:row>19</xdr:row>
      <xdr:rowOff>28575</xdr:rowOff>
    </xdr:from>
    <xdr:to>
      <xdr:col>11</xdr:col>
      <xdr:colOff>95250</xdr:colOff>
      <xdr:row>32</xdr:row>
      <xdr:rowOff>0</xdr:rowOff>
    </xdr:to>
    <xdr:graphicFrame macro="">
      <xdr:nvGraphicFramePr>
        <xdr:cNvPr id="2" name="Chart 1">
          <a:extLst>
            <a:ext uri="{FF2B5EF4-FFF2-40B4-BE49-F238E27FC236}">
              <a16:creationId xmlns:a16="http://schemas.microsoft.com/office/drawing/2014/main" id="{A2A79FFE-8638-4C13-92F3-443DB5B2A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190500</xdr:colOff>
      <xdr:row>19</xdr:row>
      <xdr:rowOff>38100</xdr:rowOff>
    </xdr:from>
    <xdr:to>
      <xdr:col>17</xdr:col>
      <xdr:colOff>390525</xdr:colOff>
      <xdr:row>31</xdr:row>
      <xdr:rowOff>161925</xdr:rowOff>
    </xdr:to>
    <xdr:graphicFrame macro="">
      <xdr:nvGraphicFramePr>
        <xdr:cNvPr id="4" name="Chart 3">
          <a:extLst>
            <a:ext uri="{FF2B5EF4-FFF2-40B4-BE49-F238E27FC236}">
              <a16:creationId xmlns:a16="http://schemas.microsoft.com/office/drawing/2014/main" id="{849779E6-55DF-4026-A859-A70BFECA5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161925</xdr:colOff>
      <xdr:row>5</xdr:row>
      <xdr:rowOff>76199</xdr:rowOff>
    </xdr:from>
    <xdr:to>
      <xdr:col>3</xdr:col>
      <xdr:colOff>161925</xdr:colOff>
      <xdr:row>12</xdr:row>
      <xdr:rowOff>57150</xdr:rowOff>
    </xdr:to>
    <mc:AlternateContent xmlns:mc="http://schemas.openxmlformats.org/markup-compatibility/2006" xmlns:a14="http://schemas.microsoft.com/office/drawing/2010/main">
      <mc:Choice Requires="a14">
        <xdr:graphicFrame macro="">
          <xdr:nvGraphicFramePr>
            <xdr:cNvPr id="5" name="DepartmentType 1">
              <a:extLst>
                <a:ext uri="{FF2B5EF4-FFF2-40B4-BE49-F238E27FC236}">
                  <a16:creationId xmlns:a16="http://schemas.microsoft.com/office/drawing/2014/main" id="{7353110F-5E49-4FC9-A72E-9416915B9122}"/>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61925" y="1028699"/>
              <a:ext cx="1828800" cy="131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12</xdr:row>
      <xdr:rowOff>114300</xdr:rowOff>
    </xdr:from>
    <xdr:to>
      <xdr:col>3</xdr:col>
      <xdr:colOff>152400</xdr:colOff>
      <xdr:row>18</xdr:row>
      <xdr:rowOff>133350</xdr:rowOff>
    </xdr:to>
    <mc:AlternateContent xmlns:mc="http://schemas.openxmlformats.org/markup-compatibility/2006" xmlns:a14="http://schemas.microsoft.com/office/drawing/2010/main">
      <mc:Choice Requires="a14">
        <xdr:graphicFrame macro="">
          <xdr:nvGraphicFramePr>
            <xdr:cNvPr id="9" name="GenderCode 1">
              <a:extLst>
                <a:ext uri="{FF2B5EF4-FFF2-40B4-BE49-F238E27FC236}">
                  <a16:creationId xmlns:a16="http://schemas.microsoft.com/office/drawing/2014/main" id="{7A383410-5F73-4612-8AE9-5C1A761235C8}"/>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mlns="">
        <xdr:sp macro="" textlink="">
          <xdr:nvSpPr>
            <xdr:cNvPr id="0" name=""/>
            <xdr:cNvSpPr>
              <a:spLocks noTextEdit="1"/>
            </xdr:cNvSpPr>
          </xdr:nvSpPr>
          <xdr:spPr>
            <a:xfrm>
              <a:off x="152400" y="2400300"/>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209550</xdr:colOff>
      <xdr:row>12</xdr:row>
      <xdr:rowOff>114301</xdr:rowOff>
    </xdr:from>
    <xdr:to>
      <xdr:col>6</xdr:col>
      <xdr:colOff>209550</xdr:colOff>
      <xdr:row>18</xdr:row>
      <xdr:rowOff>133350</xdr:rowOff>
    </xdr:to>
    <mc:AlternateContent xmlns:mc="http://schemas.openxmlformats.org/markup-compatibility/2006" xmlns:a14="http://schemas.microsoft.com/office/drawing/2010/main">
      <mc:Choice Requires="a14">
        <xdr:graphicFrame macro="">
          <xdr:nvGraphicFramePr>
            <xdr:cNvPr id="10" name="EmployeeType 1">
              <a:extLst>
                <a:ext uri="{FF2B5EF4-FFF2-40B4-BE49-F238E27FC236}">
                  <a16:creationId xmlns:a16="http://schemas.microsoft.com/office/drawing/2014/main" id="{C2CD74C8-539C-419A-BEC9-375B4AC17F21}"/>
                </a:ext>
              </a:extLst>
            </xdr:cNvPr>
            <xdr:cNvGraphicFramePr/>
          </xdr:nvGraphicFramePr>
          <xdr:xfrm>
            <a:off x="0" y="0"/>
            <a:ext cx="0" cy="0"/>
          </xdr:xfrm>
          <a:graphic>
            <a:graphicData uri="http://schemas.microsoft.com/office/drawing/2010/slicer">
              <sle:slicer xmlns:sle="http://schemas.microsoft.com/office/drawing/2010/slicer" name="EmployeeType 1"/>
            </a:graphicData>
          </a:graphic>
        </xdr:graphicFrame>
      </mc:Choice>
      <mc:Fallback xmlns="">
        <xdr:sp macro="" textlink="">
          <xdr:nvSpPr>
            <xdr:cNvPr id="0" name=""/>
            <xdr:cNvSpPr>
              <a:spLocks noTextEdit="1"/>
            </xdr:cNvSpPr>
          </xdr:nvSpPr>
          <xdr:spPr>
            <a:xfrm>
              <a:off x="2038350" y="2400301"/>
              <a:ext cx="182880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219075</xdr:colOff>
      <xdr:row>5</xdr:row>
      <xdr:rowOff>76201</xdr:rowOff>
    </xdr:from>
    <xdr:to>
      <xdr:col>6</xdr:col>
      <xdr:colOff>219075</xdr:colOff>
      <xdr:row>12</xdr:row>
      <xdr:rowOff>57150</xdr:rowOff>
    </xdr:to>
    <mc:AlternateContent xmlns:mc="http://schemas.openxmlformats.org/markup-compatibility/2006" xmlns:a14="http://schemas.microsoft.com/office/drawing/2010/main">
      <mc:Choice Requires="a14">
        <xdr:graphicFrame macro="">
          <xdr:nvGraphicFramePr>
            <xdr:cNvPr id="11" name="BusinessUnit 1">
              <a:extLst>
                <a:ext uri="{FF2B5EF4-FFF2-40B4-BE49-F238E27FC236}">
                  <a16:creationId xmlns:a16="http://schemas.microsoft.com/office/drawing/2014/main" id="{43CB3CF7-3A37-4D81-A573-71DBF901F5BC}"/>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2047875" y="1028701"/>
              <a:ext cx="1828800" cy="1314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209550</xdr:colOff>
      <xdr:row>0</xdr:row>
      <xdr:rowOff>114300</xdr:rowOff>
    </xdr:from>
    <xdr:to>
      <xdr:col>10</xdr:col>
      <xdr:colOff>452436</xdr:colOff>
      <xdr:row>4</xdr:row>
      <xdr:rowOff>123825</xdr:rowOff>
    </xdr:to>
    <xdr:sp macro="" textlink="">
      <xdr:nvSpPr>
        <xdr:cNvPr id="13" name="Rectangle: Rounded Corners 12">
          <a:extLst>
            <a:ext uri="{FF2B5EF4-FFF2-40B4-BE49-F238E27FC236}">
              <a16:creationId xmlns:a16="http://schemas.microsoft.com/office/drawing/2014/main" id="{CB0B4DDE-5A9F-C2C3-B006-86FFFEEF58D3}"/>
            </a:ext>
          </a:extLst>
        </xdr:cNvPr>
        <xdr:cNvSpPr/>
      </xdr:nvSpPr>
      <xdr:spPr>
        <a:xfrm>
          <a:off x="4476750" y="114300"/>
          <a:ext cx="2071686" cy="7715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523874</xdr:colOff>
      <xdr:row>0</xdr:row>
      <xdr:rowOff>104775</xdr:rowOff>
    </xdr:from>
    <xdr:to>
      <xdr:col>14</xdr:col>
      <xdr:colOff>219075</xdr:colOff>
      <xdr:row>4</xdr:row>
      <xdr:rowOff>114300</xdr:rowOff>
    </xdr:to>
    <xdr:sp macro="" textlink="">
      <xdr:nvSpPr>
        <xdr:cNvPr id="15" name="Rectangle: Rounded Corners 14">
          <a:extLst>
            <a:ext uri="{FF2B5EF4-FFF2-40B4-BE49-F238E27FC236}">
              <a16:creationId xmlns:a16="http://schemas.microsoft.com/office/drawing/2014/main" id="{4EB8A44C-FC10-4DDE-8E8E-BB5797D3ECA1}"/>
            </a:ext>
          </a:extLst>
        </xdr:cNvPr>
        <xdr:cNvSpPr/>
      </xdr:nvSpPr>
      <xdr:spPr>
        <a:xfrm>
          <a:off x="6619874" y="104775"/>
          <a:ext cx="2133601" cy="7715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314324</xdr:colOff>
      <xdr:row>0</xdr:row>
      <xdr:rowOff>104775</xdr:rowOff>
    </xdr:from>
    <xdr:to>
      <xdr:col>17</xdr:col>
      <xdr:colOff>323850</xdr:colOff>
      <xdr:row>4</xdr:row>
      <xdr:rowOff>123825</xdr:rowOff>
    </xdr:to>
    <xdr:sp macro="" textlink="">
      <xdr:nvSpPr>
        <xdr:cNvPr id="16" name="Rectangle: Rounded Corners 15">
          <a:extLst>
            <a:ext uri="{FF2B5EF4-FFF2-40B4-BE49-F238E27FC236}">
              <a16:creationId xmlns:a16="http://schemas.microsoft.com/office/drawing/2014/main" id="{F41E0D52-CEFC-46E5-A61E-B60579D4C1CE}"/>
            </a:ext>
          </a:extLst>
        </xdr:cNvPr>
        <xdr:cNvSpPr/>
      </xdr:nvSpPr>
      <xdr:spPr>
        <a:xfrm>
          <a:off x="8848724" y="104775"/>
          <a:ext cx="1838326" cy="7810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352425</xdr:colOff>
      <xdr:row>2</xdr:row>
      <xdr:rowOff>95250</xdr:rowOff>
    </xdr:from>
    <xdr:to>
      <xdr:col>9</xdr:col>
      <xdr:colOff>438150</xdr:colOff>
      <xdr:row>4</xdr:row>
      <xdr:rowOff>76200</xdr:rowOff>
    </xdr:to>
    <xdr:sp macro="" textlink="'pivot table'!H5">
      <xdr:nvSpPr>
        <xdr:cNvPr id="17" name="TextBox 16">
          <a:extLst>
            <a:ext uri="{FF2B5EF4-FFF2-40B4-BE49-F238E27FC236}">
              <a16:creationId xmlns:a16="http://schemas.microsoft.com/office/drawing/2014/main" id="{BB654873-AC84-D1C2-6D72-A52F491CCF81}"/>
            </a:ext>
          </a:extLst>
        </xdr:cNvPr>
        <xdr:cNvSpPr txBox="1"/>
      </xdr:nvSpPr>
      <xdr:spPr>
        <a:xfrm>
          <a:off x="5229225" y="476250"/>
          <a:ext cx="6953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F0BA0B21-E7C4-46E2-9DB6-45B7458855A2}" type="TxLink">
            <a:rPr lang="en-US" sz="2000" b="0" i="0" u="none" strike="noStrike">
              <a:solidFill>
                <a:srgbClr val="000000"/>
              </a:solidFill>
              <a:latin typeface="Calibri"/>
              <a:cs typeface="Calibri"/>
            </a:rPr>
            <a:pPr algn="r"/>
            <a:t>2.91</a:t>
          </a:fld>
          <a:endParaRPr lang="en-US" sz="4000"/>
        </a:p>
      </xdr:txBody>
    </xdr:sp>
    <xdr:clientData/>
  </xdr:twoCellAnchor>
  <xdr:twoCellAnchor>
    <xdr:from>
      <xdr:col>12</xdr:col>
      <xdr:colOff>314325</xdr:colOff>
      <xdr:row>2</xdr:row>
      <xdr:rowOff>66675</xdr:rowOff>
    </xdr:from>
    <xdr:to>
      <xdr:col>13</xdr:col>
      <xdr:colOff>485775</xdr:colOff>
      <xdr:row>4</xdr:row>
      <xdr:rowOff>47625</xdr:rowOff>
    </xdr:to>
    <xdr:sp macro="" textlink="'pivot table'!H3">
      <xdr:nvSpPr>
        <xdr:cNvPr id="19" name="TextBox 18">
          <a:extLst>
            <a:ext uri="{FF2B5EF4-FFF2-40B4-BE49-F238E27FC236}">
              <a16:creationId xmlns:a16="http://schemas.microsoft.com/office/drawing/2014/main" id="{84354948-63F7-4F48-A1CA-43C6E647B60A}"/>
            </a:ext>
          </a:extLst>
        </xdr:cNvPr>
        <xdr:cNvSpPr txBox="1"/>
      </xdr:nvSpPr>
      <xdr:spPr>
        <a:xfrm>
          <a:off x="7629525" y="447675"/>
          <a:ext cx="7810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6D501ADB-CE4E-4045-83DB-A6A9D83537F3}" type="TxLink">
            <a:rPr lang="en-US" sz="2000" b="0" i="0" u="none" strike="noStrike">
              <a:solidFill>
                <a:srgbClr val="000000"/>
              </a:solidFill>
              <a:latin typeface="Calibri"/>
              <a:cs typeface="Calibri"/>
            </a:rPr>
            <a:pPr algn="r"/>
            <a:t>3.015</a:t>
          </a:fld>
          <a:endParaRPr lang="en-US" sz="6600"/>
        </a:p>
      </xdr:txBody>
    </xdr:sp>
    <xdr:clientData/>
  </xdr:twoCellAnchor>
  <xdr:twoCellAnchor>
    <xdr:from>
      <xdr:col>15</xdr:col>
      <xdr:colOff>390525</xdr:colOff>
      <xdr:row>2</xdr:row>
      <xdr:rowOff>66675</xdr:rowOff>
    </xdr:from>
    <xdr:to>
      <xdr:col>17</xdr:col>
      <xdr:colOff>266700</xdr:colOff>
      <xdr:row>4</xdr:row>
      <xdr:rowOff>47625</xdr:rowOff>
    </xdr:to>
    <xdr:sp macro="" textlink="'pivot table'!H4">
      <xdr:nvSpPr>
        <xdr:cNvPr id="21" name="TextBox 20">
          <a:extLst>
            <a:ext uri="{FF2B5EF4-FFF2-40B4-BE49-F238E27FC236}">
              <a16:creationId xmlns:a16="http://schemas.microsoft.com/office/drawing/2014/main" id="{86E68D2A-590A-4F57-870B-7B79DE7B4F11}"/>
            </a:ext>
          </a:extLst>
        </xdr:cNvPr>
        <xdr:cNvSpPr txBox="1"/>
      </xdr:nvSpPr>
      <xdr:spPr>
        <a:xfrm>
          <a:off x="9534525" y="447675"/>
          <a:ext cx="10953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200AE63F-A644-493F-B4A1-E96CA28B99B9}" type="TxLink">
            <a:rPr lang="en-US" sz="2000" b="0" i="0" u="none" strike="noStrike">
              <a:solidFill>
                <a:srgbClr val="000000"/>
              </a:solidFill>
              <a:latin typeface="Calibri"/>
              <a:cs typeface="Calibri"/>
            </a:rPr>
            <a:pPr algn="r"/>
            <a:t>₹ 558.69</a:t>
          </a:fld>
          <a:endParaRPr lang="en-US" sz="11500"/>
        </a:p>
      </xdr:txBody>
    </xdr:sp>
    <xdr:clientData/>
  </xdr:twoCellAnchor>
  <xdr:twoCellAnchor>
    <xdr:from>
      <xdr:col>14</xdr:col>
      <xdr:colOff>495300</xdr:colOff>
      <xdr:row>0</xdr:row>
      <xdr:rowOff>95250</xdr:rowOff>
    </xdr:from>
    <xdr:to>
      <xdr:col>17</xdr:col>
      <xdr:colOff>276225</xdr:colOff>
      <xdr:row>2</xdr:row>
      <xdr:rowOff>47625</xdr:rowOff>
    </xdr:to>
    <xdr:sp macro="" textlink="">
      <xdr:nvSpPr>
        <xdr:cNvPr id="12" name="TextBox 11">
          <a:extLst>
            <a:ext uri="{FF2B5EF4-FFF2-40B4-BE49-F238E27FC236}">
              <a16:creationId xmlns:a16="http://schemas.microsoft.com/office/drawing/2014/main" id="{B9573A9F-EB80-D9F5-7CE6-D52E6EA1E35C}"/>
            </a:ext>
          </a:extLst>
        </xdr:cNvPr>
        <xdr:cNvSpPr txBox="1"/>
      </xdr:nvSpPr>
      <xdr:spPr>
        <a:xfrm>
          <a:off x="9029700" y="95250"/>
          <a:ext cx="16097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800"/>
            <a:t>Training</a:t>
          </a:r>
          <a:r>
            <a:rPr lang="en-US" sz="2000"/>
            <a:t> </a:t>
          </a:r>
          <a:r>
            <a:rPr lang="en-US" sz="1800"/>
            <a:t>Cost</a:t>
          </a:r>
          <a:endParaRPr lang="en-US" sz="2000"/>
        </a:p>
      </xdr:txBody>
    </xdr:sp>
    <xdr:clientData/>
  </xdr:twoCellAnchor>
  <xdr:twoCellAnchor>
    <xdr:from>
      <xdr:col>11</xdr:col>
      <xdr:colOff>228600</xdr:colOff>
      <xdr:row>0</xdr:row>
      <xdr:rowOff>28575</xdr:rowOff>
    </xdr:from>
    <xdr:to>
      <xdr:col>14</xdr:col>
      <xdr:colOff>228599</xdr:colOff>
      <xdr:row>2</xdr:row>
      <xdr:rowOff>123825</xdr:rowOff>
    </xdr:to>
    <xdr:sp macro="" textlink="">
      <xdr:nvSpPr>
        <xdr:cNvPr id="18" name="TextBox 17">
          <a:extLst>
            <a:ext uri="{FF2B5EF4-FFF2-40B4-BE49-F238E27FC236}">
              <a16:creationId xmlns:a16="http://schemas.microsoft.com/office/drawing/2014/main" id="{AA14B597-DB6C-D0FA-3890-2B188A2999A5}"/>
            </a:ext>
          </a:extLst>
        </xdr:cNvPr>
        <xdr:cNvSpPr txBox="1"/>
      </xdr:nvSpPr>
      <xdr:spPr>
        <a:xfrm>
          <a:off x="6934200" y="28575"/>
          <a:ext cx="18287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800"/>
            <a:t>Training</a:t>
          </a:r>
          <a:r>
            <a:rPr lang="en-US" sz="1600" baseline="0"/>
            <a:t> </a:t>
          </a:r>
          <a:r>
            <a:rPr lang="en-US" sz="1800" baseline="0"/>
            <a:t>Duration</a:t>
          </a:r>
          <a:endParaRPr lang="en-US" sz="1600"/>
        </a:p>
      </xdr:txBody>
    </xdr:sp>
    <xdr:clientData/>
  </xdr:twoCellAnchor>
  <xdr:twoCellAnchor>
    <xdr:from>
      <xdr:col>7</xdr:col>
      <xdr:colOff>76199</xdr:colOff>
      <xdr:row>0</xdr:row>
      <xdr:rowOff>66675</xdr:rowOff>
    </xdr:from>
    <xdr:to>
      <xdr:col>10</xdr:col>
      <xdr:colOff>466725</xdr:colOff>
      <xdr:row>2</xdr:row>
      <xdr:rowOff>19050</xdr:rowOff>
    </xdr:to>
    <xdr:sp macro="" textlink="">
      <xdr:nvSpPr>
        <xdr:cNvPr id="23" name="TextBox 22">
          <a:extLst>
            <a:ext uri="{FF2B5EF4-FFF2-40B4-BE49-F238E27FC236}">
              <a16:creationId xmlns:a16="http://schemas.microsoft.com/office/drawing/2014/main" id="{AB0D08F5-4259-A3FC-821B-C929DCCFB652}"/>
            </a:ext>
          </a:extLst>
        </xdr:cNvPr>
        <xdr:cNvSpPr txBox="1"/>
      </xdr:nvSpPr>
      <xdr:spPr>
        <a:xfrm>
          <a:off x="4343399" y="66675"/>
          <a:ext cx="221932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a:t>Engagement</a:t>
          </a:r>
          <a:r>
            <a:rPr lang="en-US" sz="2000" baseline="0"/>
            <a:t> </a:t>
          </a:r>
          <a:r>
            <a:rPr lang="en-US" sz="1800" baseline="0"/>
            <a:t>Score</a:t>
          </a:r>
          <a:endParaRPr lang="en-US" sz="2000"/>
        </a:p>
      </xdr:txBody>
    </xdr:sp>
    <xdr:clientData/>
  </xdr:twoCellAnchor>
  <xdr:twoCellAnchor editAs="oneCell">
    <xdr:from>
      <xdr:col>14</xdr:col>
      <xdr:colOff>476250</xdr:colOff>
      <xdr:row>2</xdr:row>
      <xdr:rowOff>38100</xdr:rowOff>
    </xdr:from>
    <xdr:to>
      <xdr:col>15</xdr:col>
      <xdr:colOff>390524</xdr:colOff>
      <xdr:row>4</xdr:row>
      <xdr:rowOff>57148</xdr:rowOff>
    </xdr:to>
    <xdr:pic>
      <xdr:nvPicPr>
        <xdr:cNvPr id="25" name="Graphic 24" descr="Money with solid fill">
          <a:extLst>
            <a:ext uri="{FF2B5EF4-FFF2-40B4-BE49-F238E27FC236}">
              <a16:creationId xmlns:a16="http://schemas.microsoft.com/office/drawing/2014/main" id="{695CBFAB-33D0-0D56-A328-D09F859FBD5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010650" y="419100"/>
          <a:ext cx="523874" cy="400048"/>
        </a:xfrm>
        <a:prstGeom prst="rect">
          <a:avLst/>
        </a:prstGeom>
      </xdr:spPr>
    </xdr:pic>
    <xdr:clientData/>
  </xdr:twoCellAnchor>
  <xdr:twoCellAnchor editAs="oneCell">
    <xdr:from>
      <xdr:col>11</xdr:col>
      <xdr:colOff>352425</xdr:colOff>
      <xdr:row>2</xdr:row>
      <xdr:rowOff>47625</xdr:rowOff>
    </xdr:from>
    <xdr:to>
      <xdr:col>12</xdr:col>
      <xdr:colOff>245249</xdr:colOff>
      <xdr:row>4</xdr:row>
      <xdr:rowOff>85725</xdr:rowOff>
    </xdr:to>
    <xdr:pic>
      <xdr:nvPicPr>
        <xdr:cNvPr id="27" name="Graphic 26" descr="Stopwatch with solid fill">
          <a:extLst>
            <a:ext uri="{FF2B5EF4-FFF2-40B4-BE49-F238E27FC236}">
              <a16:creationId xmlns:a16="http://schemas.microsoft.com/office/drawing/2014/main" id="{0D9A6360-B29C-B7B6-88FE-76B621B6517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058025" y="428625"/>
          <a:ext cx="502424" cy="419100"/>
        </a:xfrm>
        <a:prstGeom prst="rect">
          <a:avLst/>
        </a:prstGeom>
      </xdr:spPr>
    </xdr:pic>
    <xdr:clientData/>
  </xdr:twoCellAnchor>
  <xdr:twoCellAnchor editAs="oneCell">
    <xdr:from>
      <xdr:col>7</xdr:col>
      <xdr:colOff>571500</xdr:colOff>
      <xdr:row>2</xdr:row>
      <xdr:rowOff>85725</xdr:rowOff>
    </xdr:from>
    <xdr:to>
      <xdr:col>8</xdr:col>
      <xdr:colOff>381000</xdr:colOff>
      <xdr:row>4</xdr:row>
      <xdr:rowOff>76201</xdr:rowOff>
    </xdr:to>
    <xdr:pic>
      <xdr:nvPicPr>
        <xdr:cNvPr id="29" name="Graphic 28" descr="Checklist with solid fill">
          <a:extLst>
            <a:ext uri="{FF2B5EF4-FFF2-40B4-BE49-F238E27FC236}">
              <a16:creationId xmlns:a16="http://schemas.microsoft.com/office/drawing/2014/main" id="{048EAE15-1013-61A1-E1CE-145831B13C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38700" y="466725"/>
          <a:ext cx="419100" cy="3714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6.539610185187" createdVersion="8" refreshedVersion="8" minRefreshableVersion="3" recordCount="999" xr:uid="{97061083-3CF8-4CC4-91CB-510F5C9A577D}">
  <cacheSource type="worksheet">
    <worksheetSource name="Table1"/>
  </cacheSource>
  <cacheFields count="22">
    <cacheField name="Employee ID" numFmtId="0">
      <sharedItems containsSemiMixedTypes="0" containsString="0" containsNumber="1" containsInteger="1" minValue="1001" maxValue="4000" count="999">
        <n v="3427"/>
        <n v="3428"/>
        <n v="3429"/>
        <n v="3430"/>
        <n v="3431"/>
        <n v="3432"/>
        <n v="3433"/>
        <n v="3434"/>
        <n v="3435"/>
        <n v="3436"/>
        <n v="3437"/>
        <n v="3438"/>
        <n v="3439"/>
        <n v="3440"/>
        <n v="3441"/>
        <n v="3442"/>
        <n v="3443"/>
        <n v="3444"/>
        <n v="3445"/>
        <n v="3446"/>
        <n v="3450"/>
        <n v="3451"/>
        <n v="3452"/>
        <n v="3453"/>
        <n v="3454"/>
        <n v="3455"/>
        <n v="3456"/>
        <n v="3457"/>
        <n v="3460"/>
        <n v="3462"/>
        <n v="3463"/>
        <n v="3464"/>
        <n v="3465"/>
        <n v="3466"/>
        <n v="3467"/>
        <n v="3468"/>
        <n v="3471"/>
        <n v="3472"/>
        <n v="3473"/>
        <n v="3474"/>
        <n v="3475"/>
        <n v="3476"/>
        <n v="3477"/>
        <n v="3478"/>
        <n v="3479"/>
        <n v="3483"/>
        <n v="3484"/>
        <n v="3485"/>
        <n v="3486"/>
        <n v="3487"/>
        <n v="3488"/>
        <n v="3489"/>
        <n v="3490"/>
        <n v="3491"/>
        <n v="3492"/>
        <n v="3493"/>
        <n v="3494"/>
        <n v="3495"/>
        <n v="3496"/>
        <n v="3497"/>
        <n v="3498"/>
        <n v="3499"/>
        <n v="3500"/>
        <n v="3502"/>
        <n v="3503"/>
        <n v="3504"/>
        <n v="3505"/>
        <n v="3506"/>
        <n v="3507"/>
        <n v="3508"/>
        <n v="3509"/>
        <n v="3510"/>
        <n v="3511"/>
        <n v="3514"/>
        <n v="3516"/>
        <n v="3517"/>
        <n v="3518"/>
        <n v="3519"/>
        <n v="3520"/>
        <n v="3521"/>
        <n v="3522"/>
        <n v="3523"/>
        <n v="3526"/>
        <n v="3527"/>
        <n v="3528"/>
        <n v="3529"/>
        <n v="3530"/>
        <n v="3531"/>
        <n v="3532"/>
        <n v="3533"/>
        <n v="3534"/>
        <n v="3535"/>
        <n v="3536"/>
        <n v="3539"/>
        <n v="3540"/>
        <n v="3541"/>
        <n v="3542"/>
        <n v="3543"/>
        <n v="3544"/>
        <n v="3545"/>
        <n v="3546"/>
        <n v="3547"/>
        <n v="3548"/>
        <n v="3549"/>
        <n v="3551"/>
        <n v="3552"/>
        <n v="3553"/>
        <n v="3554"/>
        <n v="3555"/>
        <n v="3556"/>
        <n v="3557"/>
        <n v="3558"/>
        <n v="3559"/>
        <n v="3560"/>
        <n v="3561"/>
        <n v="3563"/>
        <n v="3564"/>
        <n v="3565"/>
        <n v="3566"/>
        <n v="3567"/>
        <n v="3568"/>
        <n v="3569"/>
        <n v="3570"/>
        <n v="3571"/>
        <n v="3572"/>
        <n v="3573"/>
        <n v="3575"/>
        <n v="3576"/>
        <n v="3577"/>
        <n v="3578"/>
        <n v="3579"/>
        <n v="3580"/>
        <n v="3581"/>
        <n v="3582"/>
        <n v="3583"/>
        <n v="3584"/>
        <n v="3585"/>
        <n v="3586"/>
        <n v="3587"/>
        <n v="3588"/>
        <n v="3589"/>
        <n v="3593"/>
        <n v="3594"/>
        <n v="3595"/>
        <n v="3596"/>
        <n v="3598"/>
        <n v="3599"/>
        <n v="3600"/>
        <n v="3601"/>
        <n v="3602"/>
        <n v="3603"/>
        <n v="3604"/>
        <n v="3605"/>
        <n v="3606"/>
        <n v="3607"/>
        <n v="3608"/>
        <n v="3609"/>
        <n v="3610"/>
        <n v="3611"/>
        <n v="3612"/>
        <n v="3613"/>
        <n v="3614"/>
        <n v="3616"/>
        <n v="3617"/>
        <n v="3618"/>
        <n v="3619"/>
        <n v="3620"/>
        <n v="3621"/>
        <n v="3622"/>
        <n v="3623"/>
        <n v="3624"/>
        <n v="3625"/>
        <n v="3626"/>
        <n v="3627"/>
        <n v="3628"/>
        <n v="3629"/>
        <n v="3630"/>
        <n v="3631"/>
        <n v="3632"/>
        <n v="3633"/>
        <n v="3634"/>
        <n v="3635"/>
        <n v="3636"/>
        <n v="3637"/>
        <n v="3638"/>
        <n v="3640"/>
        <n v="3643"/>
        <n v="3644"/>
        <n v="3645"/>
        <n v="3646"/>
        <n v="3647"/>
        <n v="3648"/>
        <n v="3649"/>
        <n v="3650"/>
        <n v="3651"/>
        <n v="3652"/>
        <n v="3653"/>
        <n v="3654"/>
        <n v="3655"/>
        <n v="3656"/>
        <n v="3657"/>
        <n v="3658"/>
        <n v="3659"/>
        <n v="3660"/>
        <n v="3661"/>
        <n v="3662"/>
        <n v="3665"/>
        <n v="3666"/>
        <n v="3667"/>
        <n v="3668"/>
        <n v="3669"/>
        <n v="3670"/>
        <n v="3671"/>
        <n v="3672"/>
        <n v="3673"/>
        <n v="3674"/>
        <n v="3675"/>
        <n v="3676"/>
        <n v="3677"/>
        <n v="3678"/>
        <n v="3679"/>
        <n v="3680"/>
        <n v="3681"/>
        <n v="3682"/>
        <n v="3683"/>
        <n v="3684"/>
        <n v="3685"/>
        <n v="3687"/>
        <n v="3689"/>
        <n v="3690"/>
        <n v="3691"/>
        <n v="3692"/>
        <n v="3693"/>
        <n v="3694"/>
        <n v="3695"/>
        <n v="3696"/>
        <n v="3697"/>
        <n v="3698"/>
        <n v="3699"/>
        <n v="3700"/>
        <n v="3701"/>
        <n v="3702"/>
        <n v="3703"/>
        <n v="3704"/>
        <n v="3705"/>
        <n v="3706"/>
        <n v="3707"/>
        <n v="3708"/>
        <n v="3709"/>
        <n v="3710"/>
        <n v="3711"/>
        <n v="3713"/>
        <n v="3714"/>
        <n v="3715"/>
        <n v="3716"/>
        <n v="3717"/>
        <n v="3718"/>
        <n v="3719"/>
        <n v="3720"/>
        <n v="3721"/>
        <n v="3722"/>
        <n v="3723"/>
        <n v="3724"/>
        <n v="3725"/>
        <n v="3726"/>
        <n v="3727"/>
        <n v="3728"/>
        <n v="3729"/>
        <n v="3730"/>
        <n v="3731"/>
        <n v="3732"/>
        <n v="3734"/>
        <n v="3735"/>
        <n v="3736"/>
        <n v="3737"/>
        <n v="3738"/>
        <n v="3739"/>
        <n v="3740"/>
        <n v="3741"/>
        <n v="3742"/>
        <n v="3743"/>
        <n v="3744"/>
        <n v="3745"/>
        <n v="3746"/>
        <n v="3747"/>
        <n v="3748"/>
        <n v="3749"/>
        <n v="3750"/>
        <n v="3751"/>
        <n v="3752"/>
        <n v="3753"/>
        <n v="3754"/>
        <n v="3756"/>
        <n v="3758"/>
        <n v="3759"/>
        <n v="3760"/>
        <n v="3761"/>
        <n v="3762"/>
        <n v="3763"/>
        <n v="3764"/>
        <n v="3765"/>
        <n v="3766"/>
        <n v="3767"/>
        <n v="3768"/>
        <n v="3769"/>
        <n v="3770"/>
        <n v="3771"/>
        <n v="3772"/>
        <n v="3773"/>
        <n v="3774"/>
        <n v="3775"/>
        <n v="3776"/>
        <n v="3777"/>
        <n v="3778"/>
        <n v="3782"/>
        <n v="3783"/>
        <n v="3784"/>
        <n v="3785"/>
        <n v="3786"/>
        <n v="3787"/>
        <n v="3788"/>
        <n v="3789"/>
        <n v="3790"/>
        <n v="3791"/>
        <n v="3792"/>
        <n v="3793"/>
        <n v="3794"/>
        <n v="3795"/>
        <n v="3796"/>
        <n v="3797"/>
        <n v="3798"/>
        <n v="3799"/>
        <n v="3800"/>
        <n v="3801"/>
        <n v="3802"/>
        <n v="3804"/>
        <n v="3805"/>
        <n v="3806"/>
        <n v="3807"/>
        <n v="3808"/>
        <n v="3809"/>
        <n v="3810"/>
        <n v="3811"/>
        <n v="3812"/>
        <n v="3813"/>
        <n v="3815"/>
        <n v="3816"/>
        <n v="3817"/>
        <n v="3818"/>
        <n v="3819"/>
        <n v="3820"/>
        <n v="3821"/>
        <n v="3822"/>
        <n v="3823"/>
        <n v="3824"/>
        <n v="3825"/>
        <n v="3826"/>
        <n v="3827"/>
        <n v="3828"/>
        <n v="3829"/>
        <n v="3830"/>
        <n v="3831"/>
        <n v="3833"/>
        <n v="3834"/>
        <n v="3835"/>
        <n v="3836"/>
        <n v="3837"/>
        <n v="3838"/>
        <n v="3839"/>
        <n v="3840"/>
        <n v="3841"/>
        <n v="3844"/>
        <n v="3845"/>
        <n v="3846"/>
        <n v="3847"/>
        <n v="3848"/>
        <n v="3849"/>
        <n v="3850"/>
        <n v="3854"/>
        <n v="3855"/>
        <n v="3856"/>
        <n v="3857"/>
        <n v="3858"/>
        <n v="3859"/>
        <n v="3860"/>
        <n v="3861"/>
        <n v="3863"/>
        <n v="3865"/>
        <n v="3866"/>
        <n v="3867"/>
        <n v="3868"/>
        <n v="3869"/>
        <n v="3870"/>
        <n v="3871"/>
        <n v="3872"/>
        <n v="3873"/>
        <n v="3874"/>
        <n v="3875"/>
        <n v="3876"/>
        <n v="3877"/>
        <n v="3878"/>
        <n v="3879"/>
        <n v="3880"/>
        <n v="3881"/>
        <n v="3882"/>
        <n v="3883"/>
        <n v="3884"/>
        <n v="3885"/>
        <n v="3886"/>
        <n v="3889"/>
        <n v="3890"/>
        <n v="3891"/>
        <n v="3892"/>
        <n v="3893"/>
        <n v="3894"/>
        <n v="3895"/>
        <n v="3896"/>
        <n v="3897"/>
        <n v="3900"/>
        <n v="3901"/>
        <n v="3902"/>
        <n v="3903"/>
        <n v="3904"/>
        <n v="3905"/>
        <n v="3906"/>
        <n v="3907"/>
        <n v="3908"/>
        <n v="3909"/>
        <n v="3910"/>
        <n v="3911"/>
        <n v="3914"/>
        <n v="3915"/>
        <n v="3916"/>
        <n v="3917"/>
        <n v="3918"/>
        <n v="3919"/>
        <n v="3920"/>
        <n v="3921"/>
        <n v="3922"/>
        <n v="3923"/>
        <n v="3924"/>
        <n v="3926"/>
        <n v="3927"/>
        <n v="3928"/>
        <n v="3929"/>
        <n v="3930"/>
        <n v="3931"/>
        <n v="3932"/>
        <n v="3933"/>
        <n v="3934"/>
        <n v="3935"/>
        <n v="3936"/>
        <n v="3937"/>
        <n v="3938"/>
        <n v="3939"/>
        <n v="3940"/>
        <n v="3941"/>
        <n v="3942"/>
        <n v="3943"/>
        <n v="3944"/>
        <n v="3945"/>
        <n v="3946"/>
        <n v="3947"/>
        <n v="3948"/>
        <n v="3950"/>
        <n v="3951"/>
        <n v="3952"/>
        <n v="3953"/>
        <n v="3954"/>
        <n v="3955"/>
        <n v="3956"/>
        <n v="3957"/>
        <n v="3958"/>
        <n v="3959"/>
        <n v="3960"/>
        <n v="3961"/>
        <n v="3962"/>
        <n v="3963"/>
        <n v="3965"/>
        <n v="3967"/>
        <n v="3968"/>
        <n v="3969"/>
        <n v="3970"/>
        <n v="3971"/>
        <n v="3972"/>
        <n v="3973"/>
        <n v="3974"/>
        <n v="3975"/>
        <n v="3976"/>
        <n v="3977"/>
        <n v="3978"/>
        <n v="3980"/>
        <n v="3981"/>
        <n v="3982"/>
        <n v="3983"/>
        <n v="3984"/>
        <n v="3985"/>
        <n v="3986"/>
        <n v="3987"/>
        <n v="3989"/>
        <n v="3991"/>
        <n v="3992"/>
        <n v="3993"/>
        <n v="3994"/>
        <n v="3995"/>
        <n v="3996"/>
        <n v="3997"/>
        <n v="3998"/>
        <n v="3999"/>
        <n v="4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9"/>
        <n v="1350"/>
        <n v="1351"/>
        <n v="1352"/>
        <n v="1353"/>
        <n v="1355"/>
        <n v="1356"/>
        <n v="1357"/>
        <n v="1358"/>
        <n v="1359"/>
        <n v="1360"/>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3"/>
        <n v="1425"/>
        <n v="1426"/>
        <n v="1427"/>
        <n v="1428"/>
        <n v="1429"/>
        <n v="1430"/>
        <n v="1431"/>
        <n v="1432"/>
        <n v="1433"/>
        <n v="1434"/>
        <n v="1435"/>
        <n v="1436"/>
        <n v="1437"/>
        <n v="1438"/>
        <n v="1439"/>
        <n v="1440"/>
        <n v="1441"/>
        <n v="1442"/>
        <n v="1443"/>
        <n v="1444"/>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9"/>
        <n v="1490"/>
        <n v="1491"/>
        <n v="1492"/>
        <n v="1493"/>
        <n v="1494"/>
        <n v="1495"/>
        <n v="1496"/>
        <n v="1497"/>
        <n v="1498"/>
        <n v="1499"/>
      </sharedItems>
    </cacheField>
    <cacheField name="StartDate" numFmtId="15">
      <sharedItems containsSemiMixedTypes="0" containsNonDate="0" containsDate="1" containsString="0" minDate="2018-08-08T00:00:00" maxDate="2023-08-07T00:00:00"/>
    </cacheField>
    <cacheField name="BusinessUnit" numFmtId="0">
      <sharedItems count="10">
        <s v="CCDR"/>
        <s v="EW"/>
        <s v="PL"/>
        <s v="TNS"/>
        <s v="BPC"/>
        <s v="WBL"/>
        <s v="NEL"/>
        <s v="SVG"/>
        <s v="MSC"/>
        <s v="PYZ"/>
      </sharedItems>
    </cacheField>
    <cacheField name="EmployeeStatus" numFmtId="0">
      <sharedItems count="2">
        <s v="Active"/>
        <s v="Inactive"/>
      </sharedItems>
    </cacheField>
    <cacheField name="EmployeeType" numFmtId="0">
      <sharedItems count="3">
        <s v="Contract"/>
        <s v="Full-Time"/>
        <s v="Part-Time"/>
      </sharedItems>
    </cacheField>
    <cacheField name="PayZone" numFmtId="0">
      <sharedItems count="3">
        <s v="Zone C"/>
        <s v="Zone A"/>
        <s v="Zone B"/>
      </sharedItems>
    </cacheField>
    <cacheField name="DepartmentType" numFmtId="0">
      <sharedItems count="6">
        <s v="Production       "/>
        <s v="Sales"/>
        <s v="IT/IS"/>
        <s v="Executive Office"/>
        <s v="Software Engineering"/>
        <s v="Admin Offices"/>
      </sharedItems>
    </cacheField>
    <cacheField name="Division" numFmtId="0">
      <sharedItems count="24">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haredItems>
    </cacheField>
    <cacheField name="State" numFmtId="0">
      <sharedItems count="12">
        <s v="MA"/>
        <s v="ND"/>
        <s v="FL"/>
        <s v="CT"/>
        <s v="CA"/>
        <s v="OR"/>
        <s v="TX"/>
        <s v="IN"/>
        <s v="GA"/>
        <s v="CO"/>
        <s v="KY"/>
        <s v="NV"/>
      </sharedItems>
    </cacheField>
    <cacheField name="GenderCode" numFmtId="0">
      <sharedItems count="2">
        <s v="Female"/>
        <s v="Male"/>
      </sharedItems>
    </cacheField>
    <cacheField name="Performance Score" numFmtId="0">
      <sharedItems count="4">
        <s v="Fully Meets"/>
        <s v="Exceeds"/>
        <s v="Needs Improvement"/>
        <s v="PIP"/>
      </sharedItems>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1.21" maxValue="997.74"/>
    </cacheField>
    <cacheField name="Age" numFmtId="0">
      <sharedItems containsSemiMixedTypes="0" containsString="0" containsNumber="1" containsInteger="1" minValue="18" maxValue="82" count="65">
        <n v="50"/>
        <n v="58"/>
        <n v="27"/>
        <n v="23"/>
        <n v="71"/>
        <n v="80"/>
        <n v="63"/>
        <n v="44"/>
        <n v="73"/>
        <n v="59"/>
        <n v="70"/>
        <n v="41"/>
        <n v="68"/>
        <n v="30"/>
        <n v="67"/>
        <n v="38"/>
        <n v="36"/>
        <n v="25"/>
        <n v="26"/>
        <n v="53"/>
        <n v="75"/>
        <n v="40"/>
        <n v="52"/>
        <n v="22"/>
        <n v="77"/>
        <n v="76"/>
        <n v="69"/>
        <n v="20"/>
        <n v="43"/>
        <n v="33"/>
        <n v="21"/>
        <n v="55"/>
        <n v="64"/>
        <n v="78"/>
        <n v="61"/>
        <n v="60"/>
        <n v="57"/>
        <n v="32"/>
        <n v="29"/>
        <n v="28"/>
        <n v="48"/>
        <n v="35"/>
        <n v="47"/>
        <n v="18"/>
        <n v="31"/>
        <n v="79"/>
        <n v="24"/>
        <n v="62"/>
        <n v="34"/>
        <n v="37"/>
        <n v="74"/>
        <n v="46"/>
        <n v="39"/>
        <n v="49"/>
        <n v="45"/>
        <n v="19"/>
        <n v="56"/>
        <n v="54"/>
        <n v="42"/>
        <n v="66"/>
        <n v="65"/>
        <n v="72"/>
        <n v="51"/>
        <n v="82"/>
        <n v="81"/>
      </sharedItems>
    </cacheField>
    <cacheField name="Total Employee" numFmtId="0">
      <sharedItems containsString="0" containsBlank="1" containsNumber="1" containsInteger="1" minValue="998" maxValue="998"/>
    </cacheField>
    <cacheField name="Column1" numFmtId="0">
      <sharedItems containsSemiMixedTypes="0" containsString="0" containsNumber="1" minValue="557.6865165165168" maxValue="557.6865165165168"/>
    </cacheField>
    <cacheField name="Column2" numFmtId="0">
      <sharedItems containsSemiMixedTypes="0" containsString="0" containsNumber="1" containsInteger="1" minValue="153" maxValue="153" count="1">
        <n v="153"/>
      </sharedItems>
    </cacheField>
    <cacheField name="Column3" numFmtId="0">
      <sharedItems containsSemiMixedTypes="0" containsString="0" containsNumber="1" minValue="1.9139139139139139" maxValue="1.9139139139139139"/>
    </cacheField>
    <cacheField name="Column4" numFmtId="0">
      <sharedItems containsSemiMixedTypes="0" containsString="0" containsNumber="1" minValue="557.6865165165168" maxValue="557.6865165165168"/>
    </cacheField>
  </cacheFields>
  <extLst>
    <ext xmlns:x14="http://schemas.microsoft.com/office/spreadsheetml/2009/9/main" uri="{725AE2AE-9491-48be-B2B4-4EB974FC3084}">
      <x14:pivotCacheDefinition pivotCacheId="753357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d v="2019-09-20T00:00:00"/>
    <x v="0"/>
    <x v="0"/>
    <x v="0"/>
    <x v="0"/>
    <x v="0"/>
    <x v="0"/>
    <x v="0"/>
    <x v="0"/>
    <x v="0"/>
    <n v="1"/>
    <n v="2"/>
    <n v="3"/>
    <n v="2"/>
    <n v="606.11"/>
    <x v="0"/>
    <n v="998"/>
    <n v="557.6865165165168"/>
    <x v="0"/>
    <n v="1.9139139139139139"/>
    <n v="557.6865165165168"/>
  </r>
  <r>
    <x v="1"/>
    <d v="2023-02-11T00:00:00"/>
    <x v="1"/>
    <x v="0"/>
    <x v="0"/>
    <x v="1"/>
    <x v="0"/>
    <x v="1"/>
    <x v="0"/>
    <x v="1"/>
    <x v="0"/>
    <n v="2"/>
    <n v="1"/>
    <n v="5"/>
    <n v="4"/>
    <n v="673.02"/>
    <x v="1"/>
    <m/>
    <n v="557.6865165165168"/>
    <x v="0"/>
    <n v="1.9139139139139139"/>
    <n v="557.6865165165168"/>
  </r>
  <r>
    <x v="2"/>
    <d v="2018-12-10T00:00:00"/>
    <x v="2"/>
    <x v="0"/>
    <x v="1"/>
    <x v="2"/>
    <x v="1"/>
    <x v="2"/>
    <x v="0"/>
    <x v="1"/>
    <x v="0"/>
    <n v="1"/>
    <n v="2"/>
    <n v="1"/>
    <n v="2"/>
    <n v="413.28"/>
    <x v="2"/>
    <m/>
    <n v="557.6865165165168"/>
    <x v="0"/>
    <n v="1.9139139139139139"/>
    <n v="557.6865165165168"/>
  </r>
  <r>
    <x v="3"/>
    <d v="2021-06-21T00:00:00"/>
    <x v="0"/>
    <x v="0"/>
    <x v="0"/>
    <x v="1"/>
    <x v="1"/>
    <x v="0"/>
    <x v="1"/>
    <x v="1"/>
    <x v="0"/>
    <n v="5"/>
    <n v="5"/>
    <n v="4"/>
    <n v="3"/>
    <n v="663.78"/>
    <x v="3"/>
    <m/>
    <n v="557.6865165165168"/>
    <x v="0"/>
    <n v="1.9139139139139139"/>
    <n v="557.6865165165168"/>
  </r>
  <r>
    <x v="4"/>
    <d v="2019-06-29T00:00:00"/>
    <x v="3"/>
    <x v="0"/>
    <x v="0"/>
    <x v="1"/>
    <x v="1"/>
    <x v="3"/>
    <x v="2"/>
    <x v="0"/>
    <x v="0"/>
    <n v="2"/>
    <n v="5"/>
    <n v="3"/>
    <n v="5"/>
    <n v="399.03"/>
    <x v="0"/>
    <m/>
    <n v="557.6865165165168"/>
    <x v="0"/>
    <n v="1.9139139139139139"/>
    <n v="557.6865165165168"/>
  </r>
  <r>
    <x v="5"/>
    <d v="2020-01-17T00:00:00"/>
    <x v="4"/>
    <x v="0"/>
    <x v="0"/>
    <x v="2"/>
    <x v="1"/>
    <x v="4"/>
    <x v="3"/>
    <x v="1"/>
    <x v="0"/>
    <n v="2"/>
    <n v="3"/>
    <n v="5"/>
    <n v="2"/>
    <n v="820.33"/>
    <x v="4"/>
    <m/>
    <n v="557.6865165165168"/>
    <x v="0"/>
    <n v="1.9139139139139139"/>
    <n v="557.6865165165168"/>
  </r>
  <r>
    <x v="6"/>
    <d v="2022-04-06T00:00:00"/>
    <x v="5"/>
    <x v="0"/>
    <x v="1"/>
    <x v="2"/>
    <x v="1"/>
    <x v="5"/>
    <x v="4"/>
    <x v="0"/>
    <x v="1"/>
    <n v="1"/>
    <n v="5"/>
    <n v="2"/>
    <n v="5"/>
    <n v="295.08"/>
    <x v="5"/>
    <m/>
    <n v="557.6865165165168"/>
    <x v="0"/>
    <n v="1.9139139139139139"/>
    <n v="557.6865165165168"/>
  </r>
  <r>
    <x v="7"/>
    <d v="2020-11-06T00:00:00"/>
    <x v="0"/>
    <x v="0"/>
    <x v="0"/>
    <x v="0"/>
    <x v="1"/>
    <x v="6"/>
    <x v="5"/>
    <x v="0"/>
    <x v="0"/>
    <n v="1"/>
    <n v="4"/>
    <n v="2"/>
    <n v="3"/>
    <n v="790.15"/>
    <x v="6"/>
    <m/>
    <n v="557.6865165165168"/>
    <x v="0"/>
    <n v="1.9139139139139139"/>
    <n v="557.6865165165168"/>
  </r>
  <r>
    <x v="8"/>
    <d v="2018-08-18T00:00:00"/>
    <x v="6"/>
    <x v="0"/>
    <x v="0"/>
    <x v="2"/>
    <x v="1"/>
    <x v="7"/>
    <x v="6"/>
    <x v="1"/>
    <x v="1"/>
    <n v="4"/>
    <n v="3"/>
    <n v="3"/>
    <n v="3"/>
    <n v="798.4"/>
    <x v="7"/>
    <m/>
    <n v="557.6865165165168"/>
    <x v="0"/>
    <n v="1.9139139139139139"/>
    <n v="557.6865165165168"/>
  </r>
  <r>
    <x v="9"/>
    <d v="2022-01-21T00:00:00"/>
    <x v="4"/>
    <x v="0"/>
    <x v="2"/>
    <x v="2"/>
    <x v="1"/>
    <x v="6"/>
    <x v="6"/>
    <x v="1"/>
    <x v="0"/>
    <n v="5"/>
    <n v="5"/>
    <n v="2"/>
    <n v="5"/>
    <n v="192.61"/>
    <x v="8"/>
    <m/>
    <n v="557.6865165165168"/>
    <x v="0"/>
    <n v="1.9139139139139139"/>
    <n v="557.6865165165168"/>
  </r>
  <r>
    <x v="10"/>
    <d v="2023-08-04T00:00:00"/>
    <x v="7"/>
    <x v="0"/>
    <x v="0"/>
    <x v="2"/>
    <x v="1"/>
    <x v="4"/>
    <x v="7"/>
    <x v="0"/>
    <x v="0"/>
    <n v="3"/>
    <n v="2"/>
    <n v="5"/>
    <n v="1"/>
    <n v="455.68"/>
    <x v="9"/>
    <m/>
    <n v="557.6865165165168"/>
    <x v="0"/>
    <n v="1.9139139139139139"/>
    <n v="557.6865165165168"/>
  </r>
  <r>
    <x v="11"/>
    <d v="2018-08-10T00:00:00"/>
    <x v="8"/>
    <x v="0"/>
    <x v="1"/>
    <x v="0"/>
    <x v="1"/>
    <x v="3"/>
    <x v="8"/>
    <x v="0"/>
    <x v="0"/>
    <n v="4"/>
    <n v="2"/>
    <n v="5"/>
    <n v="2"/>
    <n v="208.17"/>
    <x v="10"/>
    <m/>
    <n v="557.6865165165168"/>
    <x v="0"/>
    <n v="1.9139139139139139"/>
    <n v="557.6865165165168"/>
  </r>
  <r>
    <x v="12"/>
    <d v="2022-05-25T00:00:00"/>
    <x v="1"/>
    <x v="0"/>
    <x v="1"/>
    <x v="1"/>
    <x v="1"/>
    <x v="8"/>
    <x v="9"/>
    <x v="1"/>
    <x v="0"/>
    <n v="1"/>
    <n v="2"/>
    <n v="5"/>
    <n v="1"/>
    <n v="421.07"/>
    <x v="11"/>
    <m/>
    <n v="557.6865165165168"/>
    <x v="0"/>
    <n v="1.9139139139139139"/>
    <n v="557.6865165165168"/>
  </r>
  <r>
    <x v="13"/>
    <d v="2019-12-05T00:00:00"/>
    <x v="0"/>
    <x v="0"/>
    <x v="0"/>
    <x v="1"/>
    <x v="1"/>
    <x v="0"/>
    <x v="10"/>
    <x v="0"/>
    <x v="0"/>
    <n v="1"/>
    <n v="4"/>
    <n v="5"/>
    <n v="1"/>
    <n v="649.03"/>
    <x v="12"/>
    <m/>
    <n v="557.6865165165168"/>
    <x v="0"/>
    <n v="1.9139139139139139"/>
    <n v="557.6865165165168"/>
  </r>
  <r>
    <x v="14"/>
    <d v="2019-04-28T00:00:00"/>
    <x v="4"/>
    <x v="0"/>
    <x v="2"/>
    <x v="1"/>
    <x v="1"/>
    <x v="3"/>
    <x v="11"/>
    <x v="1"/>
    <x v="1"/>
    <n v="4"/>
    <n v="2"/>
    <n v="5"/>
    <n v="4"/>
    <n v="450.2"/>
    <x v="13"/>
    <m/>
    <n v="557.6865165165168"/>
    <x v="0"/>
    <n v="1.9139139139139139"/>
    <n v="557.6865165165168"/>
  </r>
  <r>
    <x v="15"/>
    <d v="2019-07-09T00:00:00"/>
    <x v="9"/>
    <x v="0"/>
    <x v="1"/>
    <x v="1"/>
    <x v="2"/>
    <x v="4"/>
    <x v="0"/>
    <x v="1"/>
    <x v="1"/>
    <n v="2"/>
    <n v="5"/>
    <n v="3"/>
    <n v="4"/>
    <n v="286.87"/>
    <x v="14"/>
    <m/>
    <n v="557.6865165165168"/>
    <x v="0"/>
    <n v="1.9139139139139139"/>
    <n v="557.6865165165168"/>
  </r>
  <r>
    <x v="16"/>
    <d v="2021-04-05T00:00:00"/>
    <x v="5"/>
    <x v="0"/>
    <x v="1"/>
    <x v="0"/>
    <x v="2"/>
    <x v="9"/>
    <x v="10"/>
    <x v="1"/>
    <x v="0"/>
    <n v="2"/>
    <n v="2"/>
    <n v="4"/>
    <n v="3"/>
    <n v="402.13"/>
    <x v="2"/>
    <m/>
    <n v="557.6865165165168"/>
    <x v="0"/>
    <n v="1.9139139139139139"/>
    <n v="557.6865165165168"/>
  </r>
  <r>
    <x v="17"/>
    <d v="2021-11-28T00:00:00"/>
    <x v="6"/>
    <x v="0"/>
    <x v="0"/>
    <x v="1"/>
    <x v="1"/>
    <x v="6"/>
    <x v="10"/>
    <x v="1"/>
    <x v="0"/>
    <n v="1"/>
    <n v="2"/>
    <n v="4"/>
    <n v="2"/>
    <n v="388.84"/>
    <x v="15"/>
    <m/>
    <n v="557.6865165165168"/>
    <x v="0"/>
    <n v="1.9139139139139139"/>
    <n v="557.6865165165168"/>
  </r>
  <r>
    <x v="18"/>
    <d v="2021-01-16T00:00:00"/>
    <x v="2"/>
    <x v="0"/>
    <x v="0"/>
    <x v="0"/>
    <x v="1"/>
    <x v="9"/>
    <x v="10"/>
    <x v="0"/>
    <x v="1"/>
    <n v="4"/>
    <n v="5"/>
    <n v="2"/>
    <n v="2"/>
    <n v="879.64"/>
    <x v="16"/>
    <m/>
    <n v="557.6865165165168"/>
    <x v="0"/>
    <n v="1.9139139139139139"/>
    <n v="557.6865165165168"/>
  </r>
  <r>
    <x v="19"/>
    <d v="2021-08-24T00:00:00"/>
    <x v="4"/>
    <x v="0"/>
    <x v="2"/>
    <x v="1"/>
    <x v="1"/>
    <x v="4"/>
    <x v="6"/>
    <x v="0"/>
    <x v="1"/>
    <n v="4"/>
    <n v="3"/>
    <n v="5"/>
    <n v="5"/>
    <n v="701.13"/>
    <x v="17"/>
    <m/>
    <n v="557.6865165165168"/>
    <x v="0"/>
    <n v="1.9139139139139139"/>
    <n v="557.6865165165168"/>
  </r>
  <r>
    <x v="20"/>
    <d v="2020-09-01T00:00:00"/>
    <x v="8"/>
    <x v="0"/>
    <x v="0"/>
    <x v="0"/>
    <x v="1"/>
    <x v="4"/>
    <x v="9"/>
    <x v="1"/>
    <x v="1"/>
    <n v="4"/>
    <n v="3"/>
    <n v="5"/>
    <n v="4"/>
    <n v="186.07"/>
    <x v="18"/>
    <m/>
    <n v="557.6865165165168"/>
    <x v="0"/>
    <n v="1.9139139139139139"/>
    <n v="557.6865165165168"/>
  </r>
  <r>
    <x v="21"/>
    <d v="2021-02-18T00:00:00"/>
    <x v="3"/>
    <x v="0"/>
    <x v="0"/>
    <x v="0"/>
    <x v="1"/>
    <x v="3"/>
    <x v="9"/>
    <x v="1"/>
    <x v="1"/>
    <n v="5"/>
    <n v="1"/>
    <n v="2"/>
    <n v="1"/>
    <n v="921.97"/>
    <x v="19"/>
    <m/>
    <n v="557.6865165165168"/>
    <x v="0"/>
    <n v="1.9139139139139139"/>
    <n v="557.6865165165168"/>
  </r>
  <r>
    <x v="22"/>
    <d v="2022-11-08T00:00:00"/>
    <x v="9"/>
    <x v="0"/>
    <x v="2"/>
    <x v="1"/>
    <x v="1"/>
    <x v="3"/>
    <x v="7"/>
    <x v="1"/>
    <x v="0"/>
    <n v="5"/>
    <n v="5"/>
    <n v="2"/>
    <n v="1"/>
    <n v="691.04"/>
    <x v="20"/>
    <m/>
    <n v="557.6865165165168"/>
    <x v="0"/>
    <n v="1.9139139139139139"/>
    <n v="557.6865165165168"/>
  </r>
  <r>
    <x v="23"/>
    <d v="2022-10-13T00:00:00"/>
    <x v="5"/>
    <x v="0"/>
    <x v="0"/>
    <x v="0"/>
    <x v="1"/>
    <x v="10"/>
    <x v="0"/>
    <x v="1"/>
    <x v="0"/>
    <n v="5"/>
    <n v="5"/>
    <n v="3"/>
    <n v="5"/>
    <n v="964.44"/>
    <x v="21"/>
    <m/>
    <n v="557.6865165165168"/>
    <x v="0"/>
    <n v="1.9139139139139139"/>
    <n v="557.6865165165168"/>
  </r>
  <r>
    <x v="24"/>
    <d v="2022-09-11T00:00:00"/>
    <x v="9"/>
    <x v="0"/>
    <x v="1"/>
    <x v="0"/>
    <x v="2"/>
    <x v="3"/>
    <x v="10"/>
    <x v="1"/>
    <x v="2"/>
    <n v="4"/>
    <n v="4"/>
    <n v="2"/>
    <n v="3"/>
    <n v="184.9"/>
    <x v="22"/>
    <m/>
    <n v="557.6865165165168"/>
    <x v="0"/>
    <n v="1.9139139139139139"/>
    <n v="557.6865165165168"/>
  </r>
  <r>
    <x v="25"/>
    <d v="2021-06-29T00:00:00"/>
    <x v="5"/>
    <x v="0"/>
    <x v="1"/>
    <x v="0"/>
    <x v="1"/>
    <x v="11"/>
    <x v="10"/>
    <x v="1"/>
    <x v="1"/>
    <n v="2"/>
    <n v="1"/>
    <n v="1"/>
    <n v="1"/>
    <n v="220.41"/>
    <x v="23"/>
    <m/>
    <n v="557.6865165165168"/>
    <x v="0"/>
    <n v="1.9139139139139139"/>
    <n v="557.6865165165168"/>
  </r>
  <r>
    <x v="26"/>
    <d v="2023-03-06T00:00:00"/>
    <x v="6"/>
    <x v="0"/>
    <x v="1"/>
    <x v="1"/>
    <x v="1"/>
    <x v="4"/>
    <x v="10"/>
    <x v="0"/>
    <x v="0"/>
    <n v="4"/>
    <n v="3"/>
    <n v="4"/>
    <n v="2"/>
    <n v="336.82"/>
    <x v="24"/>
    <m/>
    <n v="557.6865165165168"/>
    <x v="0"/>
    <n v="1.9139139139139139"/>
    <n v="557.6865165165168"/>
  </r>
  <r>
    <x v="27"/>
    <d v="2020-09-25T00:00:00"/>
    <x v="2"/>
    <x v="0"/>
    <x v="1"/>
    <x v="2"/>
    <x v="1"/>
    <x v="6"/>
    <x v="10"/>
    <x v="0"/>
    <x v="2"/>
    <n v="5"/>
    <n v="1"/>
    <n v="4"/>
    <n v="4"/>
    <n v="485.73"/>
    <x v="8"/>
    <m/>
    <n v="557.6865165165168"/>
    <x v="0"/>
    <n v="1.9139139139139139"/>
    <n v="557.6865165165168"/>
  </r>
  <r>
    <x v="28"/>
    <d v="2020-02-19T00:00:00"/>
    <x v="7"/>
    <x v="0"/>
    <x v="1"/>
    <x v="1"/>
    <x v="1"/>
    <x v="1"/>
    <x v="6"/>
    <x v="1"/>
    <x v="0"/>
    <n v="4"/>
    <n v="3"/>
    <n v="3"/>
    <n v="5"/>
    <n v="919.52"/>
    <x v="25"/>
    <m/>
    <n v="557.6865165165168"/>
    <x v="0"/>
    <n v="1.9139139139139139"/>
    <n v="557.6865165165168"/>
  </r>
  <r>
    <x v="29"/>
    <d v="2018-09-13T00:00:00"/>
    <x v="8"/>
    <x v="0"/>
    <x v="0"/>
    <x v="1"/>
    <x v="1"/>
    <x v="4"/>
    <x v="9"/>
    <x v="1"/>
    <x v="2"/>
    <n v="3"/>
    <n v="3"/>
    <n v="1"/>
    <n v="1"/>
    <n v="320.01"/>
    <x v="25"/>
    <m/>
    <n v="557.6865165165168"/>
    <x v="0"/>
    <n v="1.9139139139139139"/>
    <n v="557.6865165165168"/>
  </r>
  <r>
    <x v="30"/>
    <d v="2020-04-30T00:00:00"/>
    <x v="3"/>
    <x v="0"/>
    <x v="2"/>
    <x v="1"/>
    <x v="1"/>
    <x v="4"/>
    <x v="7"/>
    <x v="1"/>
    <x v="0"/>
    <n v="4"/>
    <n v="3"/>
    <n v="4"/>
    <n v="4"/>
    <n v="926.19"/>
    <x v="26"/>
    <m/>
    <n v="557.6865165165168"/>
    <x v="0"/>
    <n v="1.9139139139139139"/>
    <n v="557.6865165165168"/>
  </r>
  <r>
    <x v="31"/>
    <d v="2018-12-03T00:00:00"/>
    <x v="9"/>
    <x v="0"/>
    <x v="0"/>
    <x v="2"/>
    <x v="1"/>
    <x v="12"/>
    <x v="0"/>
    <x v="1"/>
    <x v="2"/>
    <n v="2"/>
    <n v="5"/>
    <n v="3"/>
    <n v="2"/>
    <n v="290.47000000000003"/>
    <x v="27"/>
    <m/>
    <n v="557.6865165165168"/>
    <x v="0"/>
    <n v="1.9139139139139139"/>
    <n v="557.6865165165168"/>
  </r>
  <r>
    <x v="32"/>
    <d v="2021-11-08T00:00:00"/>
    <x v="5"/>
    <x v="0"/>
    <x v="1"/>
    <x v="2"/>
    <x v="1"/>
    <x v="3"/>
    <x v="0"/>
    <x v="1"/>
    <x v="2"/>
    <n v="5"/>
    <n v="4"/>
    <n v="3"/>
    <n v="1"/>
    <n v="706.1"/>
    <x v="9"/>
    <m/>
    <n v="557.6865165165168"/>
    <x v="0"/>
    <n v="1.9139139139139139"/>
    <n v="557.6865165165168"/>
  </r>
  <r>
    <x v="33"/>
    <d v="2022-04-13T00:00:00"/>
    <x v="9"/>
    <x v="0"/>
    <x v="2"/>
    <x v="0"/>
    <x v="2"/>
    <x v="1"/>
    <x v="10"/>
    <x v="1"/>
    <x v="1"/>
    <n v="1"/>
    <n v="3"/>
    <n v="4"/>
    <n v="3"/>
    <n v="447.66"/>
    <x v="28"/>
    <m/>
    <n v="557.6865165165168"/>
    <x v="0"/>
    <n v="1.9139139139139139"/>
    <n v="557.6865165165168"/>
  </r>
  <r>
    <x v="34"/>
    <d v="2020-05-06T00:00:00"/>
    <x v="5"/>
    <x v="0"/>
    <x v="0"/>
    <x v="1"/>
    <x v="1"/>
    <x v="10"/>
    <x v="10"/>
    <x v="0"/>
    <x v="1"/>
    <n v="4"/>
    <n v="3"/>
    <n v="2"/>
    <n v="1"/>
    <n v="759.7"/>
    <x v="29"/>
    <m/>
    <n v="557.6865165165168"/>
    <x v="0"/>
    <n v="1.9139139139139139"/>
    <n v="557.6865165165168"/>
  </r>
  <r>
    <x v="35"/>
    <d v="2019-09-09T00:00:00"/>
    <x v="6"/>
    <x v="0"/>
    <x v="0"/>
    <x v="2"/>
    <x v="1"/>
    <x v="13"/>
    <x v="10"/>
    <x v="0"/>
    <x v="0"/>
    <n v="3"/>
    <n v="1"/>
    <n v="3"/>
    <n v="3"/>
    <n v="180.63"/>
    <x v="30"/>
    <m/>
    <n v="557.6865165165168"/>
    <x v="0"/>
    <n v="1.9139139139139139"/>
    <n v="557.6865165165168"/>
  </r>
  <r>
    <x v="36"/>
    <d v="2020-02-29T00:00:00"/>
    <x v="0"/>
    <x v="0"/>
    <x v="2"/>
    <x v="0"/>
    <x v="1"/>
    <x v="4"/>
    <x v="6"/>
    <x v="1"/>
    <x v="0"/>
    <n v="2"/>
    <n v="4"/>
    <n v="1"/>
    <n v="3"/>
    <n v="109.98"/>
    <x v="19"/>
    <m/>
    <n v="557.6865165165168"/>
    <x v="0"/>
    <n v="1.9139139139139139"/>
    <n v="557.6865165165168"/>
  </r>
  <r>
    <x v="37"/>
    <d v="2023-01-15T00:00:00"/>
    <x v="7"/>
    <x v="0"/>
    <x v="0"/>
    <x v="0"/>
    <x v="1"/>
    <x v="9"/>
    <x v="6"/>
    <x v="1"/>
    <x v="1"/>
    <n v="5"/>
    <n v="5"/>
    <n v="4"/>
    <n v="5"/>
    <n v="537.24"/>
    <x v="11"/>
    <m/>
    <n v="557.6865165165168"/>
    <x v="0"/>
    <n v="1.9139139139139139"/>
    <n v="557.6865165165168"/>
  </r>
  <r>
    <x v="38"/>
    <d v="2023-06-29T00:00:00"/>
    <x v="1"/>
    <x v="0"/>
    <x v="2"/>
    <x v="1"/>
    <x v="1"/>
    <x v="12"/>
    <x v="9"/>
    <x v="1"/>
    <x v="1"/>
    <n v="3"/>
    <n v="4"/>
    <n v="4"/>
    <n v="5"/>
    <n v="789.99"/>
    <x v="8"/>
    <m/>
    <n v="557.6865165165168"/>
    <x v="0"/>
    <n v="1.9139139139139139"/>
    <n v="557.6865165165168"/>
  </r>
  <r>
    <x v="39"/>
    <d v="2020-03-09T00:00:00"/>
    <x v="8"/>
    <x v="0"/>
    <x v="1"/>
    <x v="1"/>
    <x v="1"/>
    <x v="14"/>
    <x v="9"/>
    <x v="1"/>
    <x v="0"/>
    <n v="3"/>
    <n v="1"/>
    <n v="2"/>
    <n v="5"/>
    <n v="155.51"/>
    <x v="31"/>
    <m/>
    <n v="557.6865165165168"/>
    <x v="0"/>
    <n v="1.9139139139139139"/>
    <n v="557.6865165165168"/>
  </r>
  <r>
    <x v="40"/>
    <d v="2021-09-21T00:00:00"/>
    <x v="3"/>
    <x v="0"/>
    <x v="1"/>
    <x v="0"/>
    <x v="1"/>
    <x v="3"/>
    <x v="7"/>
    <x v="1"/>
    <x v="0"/>
    <n v="4"/>
    <n v="3"/>
    <n v="4"/>
    <n v="2"/>
    <n v="648.76"/>
    <x v="32"/>
    <m/>
    <n v="557.6865165165168"/>
    <x v="0"/>
    <n v="1.9139139139139139"/>
    <n v="557.6865165165168"/>
  </r>
  <r>
    <x v="41"/>
    <d v="2023-06-12T00:00:00"/>
    <x v="9"/>
    <x v="0"/>
    <x v="2"/>
    <x v="1"/>
    <x v="1"/>
    <x v="10"/>
    <x v="0"/>
    <x v="1"/>
    <x v="2"/>
    <n v="5"/>
    <n v="5"/>
    <n v="3"/>
    <n v="4"/>
    <n v="533.5"/>
    <x v="33"/>
    <m/>
    <n v="557.6865165165168"/>
    <x v="0"/>
    <n v="1.9139139139139139"/>
    <n v="557.6865165165168"/>
  </r>
  <r>
    <x v="42"/>
    <d v="2019-04-07T00:00:00"/>
    <x v="9"/>
    <x v="0"/>
    <x v="2"/>
    <x v="1"/>
    <x v="2"/>
    <x v="1"/>
    <x v="10"/>
    <x v="0"/>
    <x v="2"/>
    <n v="1"/>
    <n v="2"/>
    <n v="1"/>
    <n v="5"/>
    <n v="429.48"/>
    <x v="0"/>
    <m/>
    <n v="557.6865165165168"/>
    <x v="0"/>
    <n v="1.9139139139139139"/>
    <n v="557.6865165165168"/>
  </r>
  <r>
    <x v="43"/>
    <d v="2018-09-17T00:00:00"/>
    <x v="5"/>
    <x v="0"/>
    <x v="1"/>
    <x v="0"/>
    <x v="1"/>
    <x v="13"/>
    <x v="10"/>
    <x v="0"/>
    <x v="0"/>
    <n v="3"/>
    <n v="4"/>
    <n v="1"/>
    <n v="1"/>
    <n v="526.74"/>
    <x v="34"/>
    <m/>
    <n v="557.6865165165168"/>
    <x v="0"/>
    <n v="1.9139139139139139"/>
    <n v="557.6865165165168"/>
  </r>
  <r>
    <x v="44"/>
    <d v="2022-08-02T00:00:00"/>
    <x v="6"/>
    <x v="0"/>
    <x v="0"/>
    <x v="1"/>
    <x v="1"/>
    <x v="9"/>
    <x v="6"/>
    <x v="0"/>
    <x v="0"/>
    <n v="4"/>
    <n v="4"/>
    <n v="4"/>
    <n v="3"/>
    <n v="443.45"/>
    <x v="35"/>
    <m/>
    <n v="557.6865165165168"/>
    <x v="0"/>
    <n v="1.9139139139139139"/>
    <n v="557.6865165165168"/>
  </r>
  <r>
    <x v="45"/>
    <d v="2021-09-26T00:00:00"/>
    <x v="7"/>
    <x v="0"/>
    <x v="2"/>
    <x v="2"/>
    <x v="1"/>
    <x v="9"/>
    <x v="9"/>
    <x v="1"/>
    <x v="0"/>
    <n v="1"/>
    <n v="4"/>
    <n v="5"/>
    <n v="4"/>
    <n v="111.96"/>
    <x v="36"/>
    <m/>
    <n v="557.6865165165168"/>
    <x v="0"/>
    <n v="1.9139139139139139"/>
    <n v="557.6865165165168"/>
  </r>
  <r>
    <x v="46"/>
    <d v="2018-08-29T00:00:00"/>
    <x v="1"/>
    <x v="0"/>
    <x v="2"/>
    <x v="2"/>
    <x v="1"/>
    <x v="3"/>
    <x v="9"/>
    <x v="1"/>
    <x v="0"/>
    <n v="1"/>
    <n v="2"/>
    <n v="4"/>
    <n v="1"/>
    <n v="795.7"/>
    <x v="3"/>
    <m/>
    <n v="557.6865165165168"/>
    <x v="0"/>
    <n v="1.9139139139139139"/>
    <n v="557.6865165165168"/>
  </r>
  <r>
    <x v="47"/>
    <d v="2021-10-26T00:00:00"/>
    <x v="8"/>
    <x v="0"/>
    <x v="0"/>
    <x v="0"/>
    <x v="1"/>
    <x v="4"/>
    <x v="9"/>
    <x v="1"/>
    <x v="0"/>
    <n v="2"/>
    <n v="1"/>
    <n v="3"/>
    <n v="2"/>
    <n v="796.45"/>
    <x v="2"/>
    <m/>
    <n v="557.6865165165168"/>
    <x v="0"/>
    <n v="1.9139139139139139"/>
    <n v="557.6865165165168"/>
  </r>
  <r>
    <x v="48"/>
    <d v="2022-10-31T00:00:00"/>
    <x v="3"/>
    <x v="0"/>
    <x v="2"/>
    <x v="0"/>
    <x v="1"/>
    <x v="10"/>
    <x v="7"/>
    <x v="1"/>
    <x v="0"/>
    <n v="3"/>
    <n v="1"/>
    <n v="1"/>
    <n v="5"/>
    <n v="812.59"/>
    <x v="37"/>
    <m/>
    <n v="557.6865165165168"/>
    <x v="0"/>
    <n v="1.9139139139139139"/>
    <n v="557.6865165165168"/>
  </r>
  <r>
    <x v="49"/>
    <d v="2023-03-15T00:00:00"/>
    <x v="4"/>
    <x v="0"/>
    <x v="0"/>
    <x v="2"/>
    <x v="1"/>
    <x v="2"/>
    <x v="10"/>
    <x v="0"/>
    <x v="0"/>
    <n v="5"/>
    <n v="4"/>
    <n v="1"/>
    <n v="5"/>
    <n v="132.97"/>
    <x v="38"/>
    <m/>
    <n v="557.6865165165168"/>
    <x v="0"/>
    <n v="1.9139139139139139"/>
    <n v="557.6865165165168"/>
  </r>
  <r>
    <x v="50"/>
    <d v="2022-09-09T00:00:00"/>
    <x v="0"/>
    <x v="0"/>
    <x v="0"/>
    <x v="2"/>
    <x v="1"/>
    <x v="13"/>
    <x v="10"/>
    <x v="0"/>
    <x v="0"/>
    <n v="1"/>
    <n v="5"/>
    <n v="1"/>
    <n v="1"/>
    <n v="308.19"/>
    <x v="17"/>
    <m/>
    <n v="557.6865165165168"/>
    <x v="0"/>
    <n v="1.9139139139139139"/>
    <n v="557.6865165165168"/>
  </r>
  <r>
    <x v="51"/>
    <d v="2022-03-04T00:00:00"/>
    <x v="1"/>
    <x v="0"/>
    <x v="2"/>
    <x v="1"/>
    <x v="1"/>
    <x v="4"/>
    <x v="6"/>
    <x v="0"/>
    <x v="0"/>
    <n v="2"/>
    <n v="4"/>
    <n v="5"/>
    <n v="1"/>
    <n v="131.41"/>
    <x v="26"/>
    <m/>
    <n v="557.6865165165168"/>
    <x v="0"/>
    <n v="1.9139139139139139"/>
    <n v="557.6865165165168"/>
  </r>
  <r>
    <x v="52"/>
    <d v="2019-02-11T00:00:00"/>
    <x v="8"/>
    <x v="0"/>
    <x v="2"/>
    <x v="1"/>
    <x v="1"/>
    <x v="2"/>
    <x v="6"/>
    <x v="0"/>
    <x v="0"/>
    <n v="5"/>
    <n v="3"/>
    <n v="2"/>
    <n v="3"/>
    <n v="389.59"/>
    <x v="39"/>
    <m/>
    <n v="557.6865165165168"/>
    <x v="0"/>
    <n v="1.9139139139139139"/>
    <n v="557.6865165165168"/>
  </r>
  <r>
    <x v="53"/>
    <d v="2021-01-26T00:00:00"/>
    <x v="6"/>
    <x v="0"/>
    <x v="0"/>
    <x v="2"/>
    <x v="1"/>
    <x v="4"/>
    <x v="6"/>
    <x v="1"/>
    <x v="0"/>
    <n v="3"/>
    <n v="4"/>
    <n v="5"/>
    <n v="3"/>
    <n v="442.56"/>
    <x v="40"/>
    <m/>
    <n v="557.6865165165168"/>
    <x v="0"/>
    <n v="1.9139139139139139"/>
    <n v="557.6865165165168"/>
  </r>
  <r>
    <x v="54"/>
    <d v="2019-11-26T00:00:00"/>
    <x v="2"/>
    <x v="0"/>
    <x v="1"/>
    <x v="0"/>
    <x v="1"/>
    <x v="3"/>
    <x v="9"/>
    <x v="1"/>
    <x v="0"/>
    <n v="1"/>
    <n v="5"/>
    <n v="5"/>
    <n v="3"/>
    <n v="327.66000000000003"/>
    <x v="18"/>
    <m/>
    <n v="557.6865165165168"/>
    <x v="0"/>
    <n v="1.9139139139139139"/>
    <n v="557.6865165165168"/>
  </r>
  <r>
    <x v="55"/>
    <d v="2019-07-15T00:00:00"/>
    <x v="9"/>
    <x v="0"/>
    <x v="1"/>
    <x v="0"/>
    <x v="1"/>
    <x v="9"/>
    <x v="9"/>
    <x v="1"/>
    <x v="0"/>
    <n v="3"/>
    <n v="1"/>
    <n v="5"/>
    <n v="3"/>
    <n v="400.95"/>
    <x v="41"/>
    <m/>
    <n v="557.6865165165168"/>
    <x v="0"/>
    <n v="1.9139139139139139"/>
    <n v="557.6865165165168"/>
  </r>
  <r>
    <x v="56"/>
    <d v="2020-06-18T00:00:00"/>
    <x v="7"/>
    <x v="0"/>
    <x v="0"/>
    <x v="2"/>
    <x v="1"/>
    <x v="3"/>
    <x v="9"/>
    <x v="1"/>
    <x v="0"/>
    <n v="1"/>
    <n v="2"/>
    <n v="1"/>
    <n v="2"/>
    <n v="910.45"/>
    <x v="18"/>
    <m/>
    <n v="557.6865165165168"/>
    <x v="0"/>
    <n v="1.9139139139139139"/>
    <n v="557.6865165165168"/>
  </r>
  <r>
    <x v="57"/>
    <d v="2023-06-22T00:00:00"/>
    <x v="3"/>
    <x v="0"/>
    <x v="2"/>
    <x v="2"/>
    <x v="1"/>
    <x v="13"/>
    <x v="7"/>
    <x v="1"/>
    <x v="0"/>
    <n v="4"/>
    <n v="3"/>
    <n v="5"/>
    <n v="1"/>
    <n v="701.55"/>
    <x v="13"/>
    <m/>
    <n v="557.6865165165168"/>
    <x v="0"/>
    <n v="1.9139139139139139"/>
    <n v="557.6865165165168"/>
  </r>
  <r>
    <x v="58"/>
    <d v="2021-12-02T00:00:00"/>
    <x v="5"/>
    <x v="0"/>
    <x v="0"/>
    <x v="1"/>
    <x v="1"/>
    <x v="2"/>
    <x v="4"/>
    <x v="1"/>
    <x v="0"/>
    <n v="1"/>
    <n v="3"/>
    <n v="2"/>
    <n v="1"/>
    <n v="806.87"/>
    <x v="36"/>
    <m/>
    <n v="557.6865165165168"/>
    <x v="0"/>
    <n v="1.9139139139139139"/>
    <n v="557.6865165165168"/>
  </r>
  <r>
    <x v="59"/>
    <d v="2021-12-08T00:00:00"/>
    <x v="3"/>
    <x v="0"/>
    <x v="2"/>
    <x v="0"/>
    <x v="1"/>
    <x v="9"/>
    <x v="5"/>
    <x v="0"/>
    <x v="0"/>
    <n v="2"/>
    <n v="3"/>
    <n v="4"/>
    <n v="2"/>
    <n v="184.21"/>
    <x v="21"/>
    <m/>
    <n v="557.6865165165168"/>
    <x v="0"/>
    <n v="1.9139139139139139"/>
    <n v="557.6865165165168"/>
  </r>
  <r>
    <x v="60"/>
    <d v="2023-04-26T00:00:00"/>
    <x v="9"/>
    <x v="0"/>
    <x v="1"/>
    <x v="1"/>
    <x v="1"/>
    <x v="2"/>
    <x v="10"/>
    <x v="0"/>
    <x v="0"/>
    <n v="3"/>
    <n v="3"/>
    <n v="4"/>
    <n v="1"/>
    <n v="208.43"/>
    <x v="17"/>
    <m/>
    <n v="557.6865165165168"/>
    <x v="0"/>
    <n v="1.9139139139139139"/>
    <n v="557.6865165165168"/>
  </r>
  <r>
    <x v="61"/>
    <d v="2018-09-25T00:00:00"/>
    <x v="5"/>
    <x v="0"/>
    <x v="2"/>
    <x v="0"/>
    <x v="1"/>
    <x v="4"/>
    <x v="10"/>
    <x v="0"/>
    <x v="0"/>
    <n v="5"/>
    <n v="3"/>
    <n v="5"/>
    <n v="2"/>
    <n v="762.45"/>
    <x v="42"/>
    <m/>
    <n v="557.6865165165168"/>
    <x v="0"/>
    <n v="1.9139139139139139"/>
    <n v="557.6865165165168"/>
  </r>
  <r>
    <x v="62"/>
    <d v="2018-11-20T00:00:00"/>
    <x v="6"/>
    <x v="0"/>
    <x v="1"/>
    <x v="2"/>
    <x v="1"/>
    <x v="12"/>
    <x v="6"/>
    <x v="0"/>
    <x v="0"/>
    <n v="4"/>
    <n v="1"/>
    <n v="4"/>
    <n v="4"/>
    <n v="779.79"/>
    <x v="43"/>
    <m/>
    <n v="557.6865165165168"/>
    <x v="0"/>
    <n v="1.9139139139139139"/>
    <n v="557.6865165165168"/>
  </r>
  <r>
    <x v="63"/>
    <d v="2019-10-01T00:00:00"/>
    <x v="4"/>
    <x v="0"/>
    <x v="1"/>
    <x v="0"/>
    <x v="1"/>
    <x v="8"/>
    <x v="6"/>
    <x v="1"/>
    <x v="0"/>
    <n v="5"/>
    <n v="3"/>
    <n v="5"/>
    <n v="3"/>
    <n v="427.12"/>
    <x v="28"/>
    <m/>
    <n v="557.6865165165168"/>
    <x v="0"/>
    <n v="1.9139139139139139"/>
    <n v="557.6865165165168"/>
  </r>
  <r>
    <x v="64"/>
    <d v="2022-01-20T00:00:00"/>
    <x v="0"/>
    <x v="0"/>
    <x v="2"/>
    <x v="1"/>
    <x v="1"/>
    <x v="9"/>
    <x v="9"/>
    <x v="1"/>
    <x v="0"/>
    <n v="5"/>
    <n v="2"/>
    <n v="3"/>
    <n v="4"/>
    <n v="996.35"/>
    <x v="4"/>
    <m/>
    <n v="557.6865165165168"/>
    <x v="0"/>
    <n v="1.9139139139139139"/>
    <n v="557.6865165165168"/>
  </r>
  <r>
    <x v="65"/>
    <d v="2021-10-10T00:00:00"/>
    <x v="7"/>
    <x v="0"/>
    <x v="1"/>
    <x v="2"/>
    <x v="1"/>
    <x v="3"/>
    <x v="9"/>
    <x v="1"/>
    <x v="0"/>
    <n v="3"/>
    <n v="4"/>
    <n v="3"/>
    <n v="5"/>
    <n v="963.23"/>
    <x v="11"/>
    <m/>
    <n v="557.6865165165168"/>
    <x v="0"/>
    <n v="1.9139139139139139"/>
    <n v="557.6865165165168"/>
  </r>
  <r>
    <x v="66"/>
    <d v="2020-08-29T00:00:00"/>
    <x v="1"/>
    <x v="0"/>
    <x v="0"/>
    <x v="2"/>
    <x v="1"/>
    <x v="4"/>
    <x v="7"/>
    <x v="1"/>
    <x v="0"/>
    <n v="4"/>
    <n v="3"/>
    <n v="2"/>
    <n v="5"/>
    <n v="260.97000000000003"/>
    <x v="24"/>
    <m/>
    <n v="557.6865165165168"/>
    <x v="0"/>
    <n v="1.9139139139139139"/>
    <n v="557.6865165165168"/>
  </r>
  <r>
    <x v="67"/>
    <d v="2019-08-27T00:00:00"/>
    <x v="8"/>
    <x v="0"/>
    <x v="1"/>
    <x v="2"/>
    <x v="1"/>
    <x v="4"/>
    <x v="7"/>
    <x v="1"/>
    <x v="0"/>
    <n v="2"/>
    <n v="2"/>
    <n v="3"/>
    <n v="1"/>
    <n v="781.81"/>
    <x v="44"/>
    <m/>
    <n v="557.6865165165168"/>
    <x v="0"/>
    <n v="1.9139139139139139"/>
    <n v="557.6865165165168"/>
  </r>
  <r>
    <x v="68"/>
    <d v="2021-02-25T00:00:00"/>
    <x v="3"/>
    <x v="0"/>
    <x v="1"/>
    <x v="1"/>
    <x v="1"/>
    <x v="9"/>
    <x v="4"/>
    <x v="1"/>
    <x v="0"/>
    <n v="2"/>
    <n v="5"/>
    <n v="2"/>
    <n v="4"/>
    <n v="651.77"/>
    <x v="40"/>
    <m/>
    <n v="557.6865165165168"/>
    <x v="0"/>
    <n v="1.9139139139139139"/>
    <n v="557.6865165165168"/>
  </r>
  <r>
    <x v="69"/>
    <d v="2021-07-13T00:00:00"/>
    <x v="0"/>
    <x v="0"/>
    <x v="1"/>
    <x v="2"/>
    <x v="1"/>
    <x v="1"/>
    <x v="5"/>
    <x v="1"/>
    <x v="0"/>
    <n v="1"/>
    <n v="5"/>
    <n v="4"/>
    <n v="1"/>
    <n v="568.22"/>
    <x v="45"/>
    <m/>
    <n v="557.6865165165168"/>
    <x v="0"/>
    <n v="1.9139139139139139"/>
    <n v="557.6865165165168"/>
  </r>
  <r>
    <x v="70"/>
    <d v="2021-04-14T00:00:00"/>
    <x v="4"/>
    <x v="0"/>
    <x v="2"/>
    <x v="0"/>
    <x v="1"/>
    <x v="2"/>
    <x v="10"/>
    <x v="0"/>
    <x v="0"/>
    <n v="4"/>
    <n v="5"/>
    <n v="2"/>
    <n v="4"/>
    <n v="612.1"/>
    <x v="7"/>
    <m/>
    <n v="557.6865165165168"/>
    <x v="0"/>
    <n v="1.9139139139139139"/>
    <n v="557.6865165165168"/>
  </r>
  <r>
    <x v="71"/>
    <d v="2020-02-10T00:00:00"/>
    <x v="9"/>
    <x v="0"/>
    <x v="2"/>
    <x v="1"/>
    <x v="1"/>
    <x v="3"/>
    <x v="10"/>
    <x v="0"/>
    <x v="0"/>
    <n v="2"/>
    <n v="4"/>
    <n v="3"/>
    <n v="4"/>
    <n v="473.23"/>
    <x v="32"/>
    <m/>
    <n v="557.6865165165168"/>
    <x v="0"/>
    <n v="1.9139139139139139"/>
    <n v="557.6865165165168"/>
  </r>
  <r>
    <x v="72"/>
    <d v="2021-08-17T00:00:00"/>
    <x v="5"/>
    <x v="0"/>
    <x v="2"/>
    <x v="2"/>
    <x v="1"/>
    <x v="0"/>
    <x v="10"/>
    <x v="0"/>
    <x v="0"/>
    <n v="5"/>
    <n v="4"/>
    <n v="5"/>
    <n v="3"/>
    <n v="344.44"/>
    <x v="46"/>
    <m/>
    <n v="557.6865165165168"/>
    <x v="0"/>
    <n v="1.9139139139139139"/>
    <n v="557.6865165165168"/>
  </r>
  <r>
    <x v="73"/>
    <d v="2020-04-15T00:00:00"/>
    <x v="4"/>
    <x v="0"/>
    <x v="1"/>
    <x v="2"/>
    <x v="1"/>
    <x v="13"/>
    <x v="6"/>
    <x v="1"/>
    <x v="0"/>
    <n v="2"/>
    <n v="1"/>
    <n v="1"/>
    <n v="3"/>
    <n v="975.46"/>
    <x v="47"/>
    <m/>
    <n v="557.6865165165168"/>
    <x v="0"/>
    <n v="1.9139139139139139"/>
    <n v="557.6865165165168"/>
  </r>
  <r>
    <x v="74"/>
    <d v="2022-04-07T00:00:00"/>
    <x v="7"/>
    <x v="0"/>
    <x v="0"/>
    <x v="2"/>
    <x v="1"/>
    <x v="9"/>
    <x v="9"/>
    <x v="1"/>
    <x v="0"/>
    <n v="2"/>
    <n v="3"/>
    <n v="5"/>
    <n v="1"/>
    <n v="570.41999999999996"/>
    <x v="48"/>
    <m/>
    <n v="557.6865165165168"/>
    <x v="0"/>
    <n v="1.9139139139139139"/>
    <n v="557.6865165165168"/>
  </r>
  <r>
    <x v="75"/>
    <d v="2020-02-19T00:00:00"/>
    <x v="1"/>
    <x v="0"/>
    <x v="2"/>
    <x v="1"/>
    <x v="1"/>
    <x v="8"/>
    <x v="7"/>
    <x v="1"/>
    <x v="0"/>
    <n v="4"/>
    <n v="1"/>
    <n v="1"/>
    <n v="3"/>
    <n v="391.31"/>
    <x v="33"/>
    <m/>
    <n v="557.6865165165168"/>
    <x v="0"/>
    <n v="1.9139139139139139"/>
    <n v="557.6865165165168"/>
  </r>
  <r>
    <x v="76"/>
    <d v="2021-04-10T00:00:00"/>
    <x v="8"/>
    <x v="0"/>
    <x v="0"/>
    <x v="2"/>
    <x v="1"/>
    <x v="5"/>
    <x v="4"/>
    <x v="0"/>
    <x v="0"/>
    <n v="4"/>
    <n v="2"/>
    <n v="5"/>
    <n v="3"/>
    <n v="826.58"/>
    <x v="22"/>
    <m/>
    <n v="557.6865165165168"/>
    <x v="0"/>
    <n v="1.9139139139139139"/>
    <n v="557.6865165165168"/>
  </r>
  <r>
    <x v="77"/>
    <d v="2021-12-19T00:00:00"/>
    <x v="3"/>
    <x v="0"/>
    <x v="2"/>
    <x v="0"/>
    <x v="1"/>
    <x v="1"/>
    <x v="4"/>
    <x v="1"/>
    <x v="0"/>
    <n v="1"/>
    <n v="3"/>
    <n v="4"/>
    <n v="4"/>
    <n v="930.69"/>
    <x v="10"/>
    <m/>
    <n v="557.6865165165168"/>
    <x v="0"/>
    <n v="1.9139139139139139"/>
    <n v="557.6865165165168"/>
  </r>
  <r>
    <x v="78"/>
    <d v="2020-12-13T00:00:00"/>
    <x v="3"/>
    <x v="0"/>
    <x v="1"/>
    <x v="0"/>
    <x v="1"/>
    <x v="9"/>
    <x v="1"/>
    <x v="0"/>
    <x v="0"/>
    <n v="5"/>
    <n v="1"/>
    <n v="1"/>
    <n v="1"/>
    <n v="607.92999999999995"/>
    <x v="36"/>
    <m/>
    <n v="557.6865165165168"/>
    <x v="0"/>
    <n v="1.9139139139139139"/>
    <n v="557.6865165165168"/>
  </r>
  <r>
    <x v="79"/>
    <d v="2019-02-26T00:00:00"/>
    <x v="5"/>
    <x v="0"/>
    <x v="0"/>
    <x v="0"/>
    <x v="1"/>
    <x v="3"/>
    <x v="10"/>
    <x v="0"/>
    <x v="0"/>
    <n v="1"/>
    <n v="3"/>
    <n v="3"/>
    <n v="5"/>
    <n v="723.5"/>
    <x v="10"/>
    <m/>
    <n v="557.6865165165168"/>
    <x v="0"/>
    <n v="1.9139139139139139"/>
    <n v="557.6865165165168"/>
  </r>
  <r>
    <x v="80"/>
    <d v="2020-03-02T00:00:00"/>
    <x v="4"/>
    <x v="0"/>
    <x v="1"/>
    <x v="0"/>
    <x v="1"/>
    <x v="8"/>
    <x v="10"/>
    <x v="0"/>
    <x v="0"/>
    <n v="1"/>
    <n v="5"/>
    <n v="4"/>
    <n v="5"/>
    <n v="394.04"/>
    <x v="49"/>
    <m/>
    <n v="557.6865165165168"/>
    <x v="0"/>
    <n v="1.9139139139139139"/>
    <n v="557.6865165165168"/>
  </r>
  <r>
    <x v="81"/>
    <d v="2021-06-25T00:00:00"/>
    <x v="0"/>
    <x v="0"/>
    <x v="1"/>
    <x v="1"/>
    <x v="1"/>
    <x v="3"/>
    <x v="10"/>
    <x v="0"/>
    <x v="0"/>
    <n v="3"/>
    <n v="2"/>
    <n v="3"/>
    <n v="2"/>
    <n v="451.18"/>
    <x v="28"/>
    <m/>
    <n v="557.6865165165168"/>
    <x v="0"/>
    <n v="1.9139139139139139"/>
    <n v="557.6865165165168"/>
  </r>
  <r>
    <x v="82"/>
    <d v="2022-09-15T00:00:00"/>
    <x v="6"/>
    <x v="0"/>
    <x v="1"/>
    <x v="2"/>
    <x v="1"/>
    <x v="3"/>
    <x v="6"/>
    <x v="1"/>
    <x v="0"/>
    <n v="1"/>
    <n v="5"/>
    <n v="3"/>
    <n v="2"/>
    <n v="360.5"/>
    <x v="50"/>
    <m/>
    <n v="557.6865165165168"/>
    <x v="0"/>
    <n v="1.9139139139139139"/>
    <n v="557.6865165165168"/>
  </r>
  <r>
    <x v="83"/>
    <d v="2020-05-01T00:00:00"/>
    <x v="2"/>
    <x v="0"/>
    <x v="1"/>
    <x v="2"/>
    <x v="1"/>
    <x v="1"/>
    <x v="9"/>
    <x v="1"/>
    <x v="0"/>
    <n v="1"/>
    <n v="3"/>
    <n v="2"/>
    <n v="4"/>
    <n v="396.28"/>
    <x v="51"/>
    <m/>
    <n v="557.6865165165168"/>
    <x v="0"/>
    <n v="1.9139139139139139"/>
    <n v="557.6865165165168"/>
  </r>
  <r>
    <x v="84"/>
    <d v="2022-10-13T00:00:00"/>
    <x v="9"/>
    <x v="0"/>
    <x v="1"/>
    <x v="0"/>
    <x v="1"/>
    <x v="0"/>
    <x v="9"/>
    <x v="1"/>
    <x v="0"/>
    <n v="5"/>
    <n v="2"/>
    <n v="2"/>
    <n v="1"/>
    <n v="465.96"/>
    <x v="44"/>
    <m/>
    <n v="557.6865165165168"/>
    <x v="0"/>
    <n v="1.9139139139139139"/>
    <n v="557.6865165165168"/>
  </r>
  <r>
    <x v="85"/>
    <d v="2020-01-03T00:00:00"/>
    <x v="7"/>
    <x v="0"/>
    <x v="2"/>
    <x v="0"/>
    <x v="1"/>
    <x v="4"/>
    <x v="7"/>
    <x v="1"/>
    <x v="0"/>
    <n v="2"/>
    <n v="3"/>
    <n v="4"/>
    <n v="1"/>
    <n v="515.55999999999995"/>
    <x v="18"/>
    <m/>
    <n v="557.6865165165168"/>
    <x v="0"/>
    <n v="1.9139139139139139"/>
    <n v="557.6865165165168"/>
  </r>
  <r>
    <x v="86"/>
    <d v="2019-11-13T00:00:00"/>
    <x v="3"/>
    <x v="0"/>
    <x v="1"/>
    <x v="2"/>
    <x v="1"/>
    <x v="4"/>
    <x v="4"/>
    <x v="0"/>
    <x v="0"/>
    <n v="1"/>
    <n v="2"/>
    <n v="5"/>
    <n v="2"/>
    <n v="496.85"/>
    <x v="18"/>
    <m/>
    <n v="557.6865165165168"/>
    <x v="0"/>
    <n v="1.9139139139139139"/>
    <n v="557.6865165165168"/>
  </r>
  <r>
    <x v="87"/>
    <d v="2023-06-17T00:00:00"/>
    <x v="5"/>
    <x v="0"/>
    <x v="1"/>
    <x v="0"/>
    <x v="1"/>
    <x v="9"/>
    <x v="4"/>
    <x v="1"/>
    <x v="0"/>
    <n v="2"/>
    <n v="4"/>
    <n v="4"/>
    <n v="3"/>
    <n v="629.46"/>
    <x v="5"/>
    <m/>
    <n v="557.6865165165168"/>
    <x v="0"/>
    <n v="1.9139139139139139"/>
    <n v="557.6865165165168"/>
  </r>
  <r>
    <x v="88"/>
    <d v="2021-10-14T00:00:00"/>
    <x v="1"/>
    <x v="0"/>
    <x v="2"/>
    <x v="2"/>
    <x v="2"/>
    <x v="15"/>
    <x v="5"/>
    <x v="0"/>
    <x v="0"/>
    <n v="2"/>
    <n v="2"/>
    <n v="5"/>
    <n v="2"/>
    <n v="771.61"/>
    <x v="31"/>
    <m/>
    <n v="557.6865165165168"/>
    <x v="0"/>
    <n v="1.9139139139139139"/>
    <n v="557.6865165165168"/>
  </r>
  <r>
    <x v="89"/>
    <d v="2021-06-01T00:00:00"/>
    <x v="8"/>
    <x v="0"/>
    <x v="0"/>
    <x v="2"/>
    <x v="1"/>
    <x v="2"/>
    <x v="1"/>
    <x v="1"/>
    <x v="0"/>
    <n v="2"/>
    <n v="5"/>
    <n v="2"/>
    <n v="4"/>
    <n v="418.4"/>
    <x v="31"/>
    <m/>
    <n v="557.6865165165168"/>
    <x v="0"/>
    <n v="1.9139139139139139"/>
    <n v="557.6865165165168"/>
  </r>
  <r>
    <x v="90"/>
    <d v="2018-09-14T00:00:00"/>
    <x v="3"/>
    <x v="0"/>
    <x v="1"/>
    <x v="1"/>
    <x v="1"/>
    <x v="6"/>
    <x v="10"/>
    <x v="0"/>
    <x v="0"/>
    <n v="4"/>
    <n v="3"/>
    <n v="2"/>
    <n v="3"/>
    <n v="900.96"/>
    <x v="9"/>
    <m/>
    <n v="557.6865165165168"/>
    <x v="0"/>
    <n v="1.9139139139139139"/>
    <n v="557.6865165165168"/>
  </r>
  <r>
    <x v="91"/>
    <d v="2018-12-11T00:00:00"/>
    <x v="9"/>
    <x v="0"/>
    <x v="1"/>
    <x v="1"/>
    <x v="1"/>
    <x v="10"/>
    <x v="10"/>
    <x v="0"/>
    <x v="0"/>
    <n v="1"/>
    <n v="5"/>
    <n v="1"/>
    <n v="1"/>
    <n v="936.96"/>
    <x v="46"/>
    <m/>
    <n v="557.6865165165168"/>
    <x v="0"/>
    <n v="1.9139139139139139"/>
    <n v="557.6865165165168"/>
  </r>
  <r>
    <x v="92"/>
    <d v="2022-08-06T00:00:00"/>
    <x v="5"/>
    <x v="0"/>
    <x v="0"/>
    <x v="0"/>
    <x v="1"/>
    <x v="2"/>
    <x v="8"/>
    <x v="0"/>
    <x v="0"/>
    <n v="1"/>
    <n v="2"/>
    <n v="4"/>
    <n v="5"/>
    <n v="269.02999999999997"/>
    <x v="29"/>
    <m/>
    <n v="557.6865165165168"/>
    <x v="0"/>
    <n v="1.9139139139139139"/>
    <n v="557.6865165165168"/>
  </r>
  <r>
    <x v="93"/>
    <d v="2019-12-08T00:00:00"/>
    <x v="4"/>
    <x v="0"/>
    <x v="1"/>
    <x v="0"/>
    <x v="1"/>
    <x v="3"/>
    <x v="9"/>
    <x v="1"/>
    <x v="0"/>
    <n v="3"/>
    <n v="3"/>
    <n v="4"/>
    <n v="4"/>
    <n v="234.77"/>
    <x v="16"/>
    <m/>
    <n v="557.6865165165168"/>
    <x v="0"/>
    <n v="1.9139139139139139"/>
    <n v="557.6865165165168"/>
  </r>
  <r>
    <x v="94"/>
    <d v="2020-03-12T00:00:00"/>
    <x v="0"/>
    <x v="0"/>
    <x v="1"/>
    <x v="2"/>
    <x v="1"/>
    <x v="8"/>
    <x v="9"/>
    <x v="1"/>
    <x v="1"/>
    <n v="2"/>
    <n v="2"/>
    <n v="3"/>
    <n v="2"/>
    <n v="903.46"/>
    <x v="49"/>
    <m/>
    <n v="557.6865165165168"/>
    <x v="0"/>
    <n v="1.9139139139139139"/>
    <n v="557.6865165165168"/>
  </r>
  <r>
    <x v="95"/>
    <d v="2020-04-06T00:00:00"/>
    <x v="7"/>
    <x v="0"/>
    <x v="1"/>
    <x v="2"/>
    <x v="1"/>
    <x v="4"/>
    <x v="7"/>
    <x v="1"/>
    <x v="1"/>
    <n v="1"/>
    <n v="3"/>
    <n v="3"/>
    <n v="4"/>
    <n v="380.3"/>
    <x v="38"/>
    <m/>
    <n v="557.6865165165168"/>
    <x v="0"/>
    <n v="1.9139139139139139"/>
    <n v="557.6865165165168"/>
  </r>
  <r>
    <x v="96"/>
    <d v="2023-04-15T00:00:00"/>
    <x v="1"/>
    <x v="0"/>
    <x v="0"/>
    <x v="1"/>
    <x v="1"/>
    <x v="4"/>
    <x v="7"/>
    <x v="1"/>
    <x v="2"/>
    <n v="2"/>
    <n v="3"/>
    <n v="4"/>
    <n v="4"/>
    <n v="511.42"/>
    <x v="20"/>
    <m/>
    <n v="557.6865165165168"/>
    <x v="0"/>
    <n v="1.9139139139139139"/>
    <n v="557.6865165165168"/>
  </r>
  <r>
    <x v="97"/>
    <d v="2020-11-10T00:00:00"/>
    <x v="8"/>
    <x v="0"/>
    <x v="2"/>
    <x v="1"/>
    <x v="1"/>
    <x v="3"/>
    <x v="4"/>
    <x v="0"/>
    <x v="0"/>
    <n v="4"/>
    <n v="5"/>
    <n v="5"/>
    <n v="4"/>
    <n v="171.03"/>
    <x v="52"/>
    <m/>
    <n v="557.6865165165168"/>
    <x v="0"/>
    <n v="1.9139139139139139"/>
    <n v="557.6865165165168"/>
  </r>
  <r>
    <x v="98"/>
    <d v="2023-06-29T00:00:00"/>
    <x v="3"/>
    <x v="0"/>
    <x v="0"/>
    <x v="1"/>
    <x v="1"/>
    <x v="1"/>
    <x v="4"/>
    <x v="1"/>
    <x v="0"/>
    <n v="3"/>
    <n v="5"/>
    <n v="3"/>
    <n v="3"/>
    <n v="842.93"/>
    <x v="3"/>
    <m/>
    <n v="557.6865165165168"/>
    <x v="0"/>
    <n v="1.9139139139139139"/>
    <n v="557.6865165165168"/>
  </r>
  <r>
    <x v="99"/>
    <d v="2022-03-07T00:00:00"/>
    <x v="1"/>
    <x v="0"/>
    <x v="1"/>
    <x v="0"/>
    <x v="2"/>
    <x v="4"/>
    <x v="5"/>
    <x v="0"/>
    <x v="0"/>
    <n v="2"/>
    <n v="5"/>
    <n v="2"/>
    <n v="5"/>
    <n v="581.12"/>
    <x v="45"/>
    <m/>
    <n v="557.6865165165168"/>
    <x v="0"/>
    <n v="1.9139139139139139"/>
    <n v="557.6865165165168"/>
  </r>
  <r>
    <x v="100"/>
    <d v="2021-07-31T00:00:00"/>
    <x v="0"/>
    <x v="0"/>
    <x v="1"/>
    <x v="2"/>
    <x v="1"/>
    <x v="3"/>
    <x v="1"/>
    <x v="1"/>
    <x v="1"/>
    <n v="2"/>
    <n v="5"/>
    <n v="5"/>
    <n v="4"/>
    <n v="426.45"/>
    <x v="11"/>
    <m/>
    <n v="557.6865165165168"/>
    <x v="0"/>
    <n v="1.9139139139139139"/>
    <n v="557.6865165165168"/>
  </r>
  <r>
    <x v="101"/>
    <d v="2022-01-20T00:00:00"/>
    <x v="4"/>
    <x v="0"/>
    <x v="0"/>
    <x v="2"/>
    <x v="1"/>
    <x v="11"/>
    <x v="10"/>
    <x v="0"/>
    <x v="2"/>
    <n v="2"/>
    <n v="4"/>
    <n v="2"/>
    <n v="4"/>
    <n v="805.05"/>
    <x v="20"/>
    <m/>
    <n v="557.6865165165168"/>
    <x v="0"/>
    <n v="1.9139139139139139"/>
    <n v="557.6865165165168"/>
  </r>
  <r>
    <x v="102"/>
    <d v="2021-07-11T00:00:00"/>
    <x v="5"/>
    <x v="0"/>
    <x v="2"/>
    <x v="1"/>
    <x v="1"/>
    <x v="3"/>
    <x v="10"/>
    <x v="0"/>
    <x v="0"/>
    <n v="5"/>
    <n v="5"/>
    <n v="3"/>
    <n v="3"/>
    <n v="368.8"/>
    <x v="36"/>
    <m/>
    <n v="557.6865165165168"/>
    <x v="0"/>
    <n v="1.9139139139139139"/>
    <n v="557.6865165165168"/>
  </r>
  <r>
    <x v="103"/>
    <d v="2018-10-15T00:00:00"/>
    <x v="3"/>
    <x v="0"/>
    <x v="1"/>
    <x v="0"/>
    <x v="1"/>
    <x v="4"/>
    <x v="8"/>
    <x v="0"/>
    <x v="0"/>
    <n v="1"/>
    <n v="4"/>
    <n v="1"/>
    <n v="5"/>
    <n v="788.67"/>
    <x v="6"/>
    <m/>
    <n v="557.6865165165168"/>
    <x v="0"/>
    <n v="1.9139139139139139"/>
    <n v="557.6865165165168"/>
  </r>
  <r>
    <x v="104"/>
    <d v="2018-08-11T00:00:00"/>
    <x v="9"/>
    <x v="0"/>
    <x v="2"/>
    <x v="0"/>
    <x v="1"/>
    <x v="6"/>
    <x v="6"/>
    <x v="1"/>
    <x v="2"/>
    <n v="4"/>
    <n v="4"/>
    <n v="3"/>
    <n v="1"/>
    <n v="570.13"/>
    <x v="32"/>
    <m/>
    <n v="557.6865165165168"/>
    <x v="0"/>
    <n v="1.9139139139139139"/>
    <n v="557.6865165165168"/>
  </r>
  <r>
    <x v="105"/>
    <d v="2020-02-16T00:00:00"/>
    <x v="2"/>
    <x v="0"/>
    <x v="1"/>
    <x v="2"/>
    <x v="1"/>
    <x v="4"/>
    <x v="9"/>
    <x v="1"/>
    <x v="2"/>
    <n v="3"/>
    <n v="4"/>
    <n v="2"/>
    <n v="4"/>
    <n v="480.87"/>
    <x v="33"/>
    <m/>
    <n v="557.6865165165168"/>
    <x v="0"/>
    <n v="1.9139139139139139"/>
    <n v="557.6865165165168"/>
  </r>
  <r>
    <x v="106"/>
    <d v="2020-01-20T00:00:00"/>
    <x v="6"/>
    <x v="0"/>
    <x v="0"/>
    <x v="0"/>
    <x v="1"/>
    <x v="4"/>
    <x v="9"/>
    <x v="1"/>
    <x v="0"/>
    <n v="4"/>
    <n v="2"/>
    <n v="4"/>
    <n v="5"/>
    <n v="689.48"/>
    <x v="4"/>
    <m/>
    <n v="557.6865165165168"/>
    <x v="0"/>
    <n v="1.9139139139139139"/>
    <n v="557.6865165165168"/>
  </r>
  <r>
    <x v="107"/>
    <d v="2019-03-31T00:00:00"/>
    <x v="8"/>
    <x v="0"/>
    <x v="2"/>
    <x v="0"/>
    <x v="1"/>
    <x v="16"/>
    <x v="7"/>
    <x v="1"/>
    <x v="0"/>
    <n v="2"/>
    <n v="1"/>
    <n v="2"/>
    <n v="4"/>
    <n v="283.33"/>
    <x v="34"/>
    <m/>
    <n v="557.6865165165168"/>
    <x v="0"/>
    <n v="1.9139139139139139"/>
    <n v="557.6865165165168"/>
  </r>
  <r>
    <x v="108"/>
    <d v="2023-01-06T00:00:00"/>
    <x v="1"/>
    <x v="0"/>
    <x v="1"/>
    <x v="0"/>
    <x v="1"/>
    <x v="5"/>
    <x v="7"/>
    <x v="0"/>
    <x v="0"/>
    <n v="2"/>
    <n v="5"/>
    <n v="1"/>
    <n v="4"/>
    <n v="566.12"/>
    <x v="41"/>
    <m/>
    <n v="557.6865165165168"/>
    <x v="0"/>
    <n v="1.9139139139139139"/>
    <n v="557.6865165165168"/>
  </r>
  <r>
    <x v="109"/>
    <d v="2019-07-18T00:00:00"/>
    <x v="0"/>
    <x v="0"/>
    <x v="1"/>
    <x v="2"/>
    <x v="1"/>
    <x v="13"/>
    <x v="4"/>
    <x v="1"/>
    <x v="1"/>
    <n v="2"/>
    <n v="2"/>
    <n v="3"/>
    <n v="1"/>
    <n v="513.91999999999996"/>
    <x v="1"/>
    <m/>
    <n v="557.6865165165168"/>
    <x v="0"/>
    <n v="1.9139139139139139"/>
    <n v="557.6865165165168"/>
  </r>
  <r>
    <x v="110"/>
    <d v="2019-02-13T00:00:00"/>
    <x v="4"/>
    <x v="0"/>
    <x v="2"/>
    <x v="0"/>
    <x v="1"/>
    <x v="4"/>
    <x v="0"/>
    <x v="1"/>
    <x v="0"/>
    <n v="4"/>
    <n v="5"/>
    <n v="2"/>
    <n v="1"/>
    <n v="210.38"/>
    <x v="9"/>
    <m/>
    <n v="557.6865165165168"/>
    <x v="0"/>
    <n v="1.9139139139139139"/>
    <n v="557.6865165165168"/>
  </r>
  <r>
    <x v="111"/>
    <d v="2018-12-30T00:00:00"/>
    <x v="8"/>
    <x v="0"/>
    <x v="2"/>
    <x v="1"/>
    <x v="0"/>
    <x v="17"/>
    <x v="0"/>
    <x v="0"/>
    <x v="0"/>
    <n v="2"/>
    <n v="5"/>
    <n v="3"/>
    <n v="1"/>
    <n v="941.54"/>
    <x v="9"/>
    <m/>
    <n v="557.6865165165168"/>
    <x v="0"/>
    <n v="1.9139139139139139"/>
    <n v="557.6865165165168"/>
  </r>
  <r>
    <x v="112"/>
    <d v="2019-11-06T00:00:00"/>
    <x v="6"/>
    <x v="0"/>
    <x v="2"/>
    <x v="0"/>
    <x v="0"/>
    <x v="4"/>
    <x v="0"/>
    <x v="1"/>
    <x v="0"/>
    <n v="3"/>
    <n v="2"/>
    <n v="1"/>
    <n v="2"/>
    <n v="959.81"/>
    <x v="39"/>
    <m/>
    <n v="557.6865165165168"/>
    <x v="0"/>
    <n v="1.9139139139139139"/>
    <n v="557.6865165165168"/>
  </r>
  <r>
    <x v="113"/>
    <d v="2022-06-01T00:00:00"/>
    <x v="8"/>
    <x v="0"/>
    <x v="0"/>
    <x v="0"/>
    <x v="0"/>
    <x v="4"/>
    <x v="0"/>
    <x v="0"/>
    <x v="1"/>
    <n v="2"/>
    <n v="4"/>
    <n v="5"/>
    <n v="1"/>
    <n v="738.92"/>
    <x v="12"/>
    <m/>
    <n v="557.6865165165168"/>
    <x v="0"/>
    <n v="1.9139139139139139"/>
    <n v="557.6865165165168"/>
  </r>
  <r>
    <x v="114"/>
    <d v="2023-03-28T00:00:00"/>
    <x v="4"/>
    <x v="0"/>
    <x v="2"/>
    <x v="0"/>
    <x v="0"/>
    <x v="3"/>
    <x v="0"/>
    <x v="0"/>
    <x v="0"/>
    <n v="2"/>
    <n v="1"/>
    <n v="5"/>
    <n v="5"/>
    <n v="445.04"/>
    <x v="32"/>
    <m/>
    <n v="557.6865165165168"/>
    <x v="0"/>
    <n v="1.9139139139139139"/>
    <n v="557.6865165165168"/>
  </r>
  <r>
    <x v="115"/>
    <d v="2019-01-01T00:00:00"/>
    <x v="5"/>
    <x v="0"/>
    <x v="0"/>
    <x v="2"/>
    <x v="0"/>
    <x v="4"/>
    <x v="0"/>
    <x v="1"/>
    <x v="3"/>
    <n v="4"/>
    <n v="1"/>
    <n v="3"/>
    <n v="4"/>
    <n v="886.9"/>
    <x v="8"/>
    <m/>
    <n v="557.6865165165168"/>
    <x v="0"/>
    <n v="1.9139139139139139"/>
    <n v="557.6865165165168"/>
  </r>
  <r>
    <x v="116"/>
    <d v="2019-01-26T00:00:00"/>
    <x v="7"/>
    <x v="1"/>
    <x v="1"/>
    <x v="0"/>
    <x v="0"/>
    <x v="1"/>
    <x v="0"/>
    <x v="0"/>
    <x v="0"/>
    <n v="4"/>
    <n v="4"/>
    <n v="3"/>
    <n v="4"/>
    <n v="106.14"/>
    <x v="17"/>
    <m/>
    <n v="557.6865165165168"/>
    <x v="0"/>
    <n v="1.9139139139139139"/>
    <n v="557.6865165165168"/>
  </r>
  <r>
    <x v="117"/>
    <d v="2021-09-11T00:00:00"/>
    <x v="5"/>
    <x v="0"/>
    <x v="2"/>
    <x v="2"/>
    <x v="0"/>
    <x v="3"/>
    <x v="0"/>
    <x v="1"/>
    <x v="0"/>
    <n v="5"/>
    <n v="5"/>
    <n v="5"/>
    <n v="4"/>
    <n v="684.35"/>
    <x v="19"/>
    <m/>
    <n v="557.6865165165168"/>
    <x v="0"/>
    <n v="1.9139139139139139"/>
    <n v="557.6865165165168"/>
  </r>
  <r>
    <x v="118"/>
    <d v="2021-09-26T00:00:00"/>
    <x v="2"/>
    <x v="0"/>
    <x v="2"/>
    <x v="1"/>
    <x v="0"/>
    <x v="1"/>
    <x v="0"/>
    <x v="1"/>
    <x v="0"/>
    <n v="1"/>
    <n v="2"/>
    <n v="3"/>
    <n v="2"/>
    <n v="578.80999999999995"/>
    <x v="1"/>
    <m/>
    <n v="557.6865165165168"/>
    <x v="0"/>
    <n v="1.9139139139139139"/>
    <n v="557.6865165165168"/>
  </r>
  <r>
    <x v="119"/>
    <d v="2023-03-04T00:00:00"/>
    <x v="1"/>
    <x v="0"/>
    <x v="1"/>
    <x v="0"/>
    <x v="0"/>
    <x v="2"/>
    <x v="0"/>
    <x v="1"/>
    <x v="0"/>
    <n v="2"/>
    <n v="3"/>
    <n v="2"/>
    <n v="5"/>
    <n v="764.51"/>
    <x v="36"/>
    <m/>
    <n v="557.6865165165168"/>
    <x v="0"/>
    <n v="1.9139139139139139"/>
    <n v="557.6865165165168"/>
  </r>
  <r>
    <x v="120"/>
    <d v="2023-07-11T00:00:00"/>
    <x v="1"/>
    <x v="1"/>
    <x v="1"/>
    <x v="2"/>
    <x v="0"/>
    <x v="4"/>
    <x v="0"/>
    <x v="1"/>
    <x v="0"/>
    <n v="2"/>
    <n v="4"/>
    <n v="1"/>
    <n v="2"/>
    <n v="201.76"/>
    <x v="53"/>
    <m/>
    <n v="557.6865165165168"/>
    <x v="0"/>
    <n v="1.9139139139139139"/>
    <n v="557.6865165165168"/>
  </r>
  <r>
    <x v="121"/>
    <d v="2019-02-09T00:00:00"/>
    <x v="8"/>
    <x v="0"/>
    <x v="2"/>
    <x v="2"/>
    <x v="0"/>
    <x v="14"/>
    <x v="0"/>
    <x v="0"/>
    <x v="0"/>
    <n v="1"/>
    <n v="3"/>
    <n v="5"/>
    <n v="4"/>
    <n v="730.04"/>
    <x v="46"/>
    <m/>
    <n v="557.6865165165168"/>
    <x v="0"/>
    <n v="1.9139139139139139"/>
    <n v="557.6865165165168"/>
  </r>
  <r>
    <x v="122"/>
    <d v="2019-04-19T00:00:00"/>
    <x v="3"/>
    <x v="1"/>
    <x v="1"/>
    <x v="2"/>
    <x v="0"/>
    <x v="10"/>
    <x v="0"/>
    <x v="0"/>
    <x v="0"/>
    <n v="2"/>
    <n v="5"/>
    <n v="3"/>
    <n v="2"/>
    <n v="796.88"/>
    <x v="54"/>
    <m/>
    <n v="557.6865165165168"/>
    <x v="0"/>
    <n v="1.9139139139139139"/>
    <n v="557.6865165165168"/>
  </r>
  <r>
    <x v="123"/>
    <d v="2022-07-07T00:00:00"/>
    <x v="6"/>
    <x v="1"/>
    <x v="2"/>
    <x v="0"/>
    <x v="0"/>
    <x v="4"/>
    <x v="0"/>
    <x v="0"/>
    <x v="0"/>
    <n v="4"/>
    <n v="1"/>
    <n v="5"/>
    <n v="3"/>
    <n v="834.44"/>
    <x v="20"/>
    <m/>
    <n v="557.6865165165168"/>
    <x v="0"/>
    <n v="1.9139139139139139"/>
    <n v="557.6865165165168"/>
  </r>
  <r>
    <x v="124"/>
    <d v="2019-03-12T00:00:00"/>
    <x v="5"/>
    <x v="0"/>
    <x v="0"/>
    <x v="1"/>
    <x v="0"/>
    <x v="10"/>
    <x v="0"/>
    <x v="1"/>
    <x v="0"/>
    <n v="5"/>
    <n v="5"/>
    <n v="5"/>
    <n v="5"/>
    <n v="569.16999999999996"/>
    <x v="17"/>
    <m/>
    <n v="557.6865165165168"/>
    <x v="0"/>
    <n v="1.9139139139139139"/>
    <n v="557.6865165165168"/>
  </r>
  <r>
    <x v="125"/>
    <d v="2020-03-09T00:00:00"/>
    <x v="6"/>
    <x v="0"/>
    <x v="0"/>
    <x v="2"/>
    <x v="0"/>
    <x v="4"/>
    <x v="0"/>
    <x v="0"/>
    <x v="1"/>
    <n v="4"/>
    <n v="1"/>
    <n v="1"/>
    <n v="4"/>
    <n v="386.07"/>
    <x v="49"/>
    <m/>
    <n v="557.6865165165168"/>
    <x v="0"/>
    <n v="1.9139139139139139"/>
    <n v="557.6865165165168"/>
  </r>
  <r>
    <x v="126"/>
    <d v="2021-04-28T00:00:00"/>
    <x v="8"/>
    <x v="1"/>
    <x v="2"/>
    <x v="1"/>
    <x v="0"/>
    <x v="4"/>
    <x v="0"/>
    <x v="1"/>
    <x v="1"/>
    <n v="5"/>
    <n v="1"/>
    <n v="5"/>
    <n v="3"/>
    <n v="583.21"/>
    <x v="48"/>
    <m/>
    <n v="557.6865165165168"/>
    <x v="0"/>
    <n v="1.9139139139139139"/>
    <n v="557.6865165165168"/>
  </r>
  <r>
    <x v="127"/>
    <d v="2021-07-21T00:00:00"/>
    <x v="2"/>
    <x v="0"/>
    <x v="1"/>
    <x v="2"/>
    <x v="0"/>
    <x v="6"/>
    <x v="0"/>
    <x v="0"/>
    <x v="1"/>
    <n v="2"/>
    <n v="3"/>
    <n v="3"/>
    <n v="5"/>
    <n v="398.65"/>
    <x v="38"/>
    <m/>
    <n v="557.6865165165168"/>
    <x v="0"/>
    <n v="1.9139139139139139"/>
    <n v="557.6865165165168"/>
  </r>
  <r>
    <x v="128"/>
    <d v="2019-09-15T00:00:00"/>
    <x v="4"/>
    <x v="0"/>
    <x v="2"/>
    <x v="0"/>
    <x v="0"/>
    <x v="4"/>
    <x v="0"/>
    <x v="1"/>
    <x v="0"/>
    <n v="5"/>
    <n v="4"/>
    <n v="5"/>
    <n v="5"/>
    <n v="931.46"/>
    <x v="47"/>
    <m/>
    <n v="557.6865165165168"/>
    <x v="0"/>
    <n v="1.9139139139139139"/>
    <n v="557.6865165165168"/>
  </r>
  <r>
    <x v="129"/>
    <d v="2019-05-04T00:00:00"/>
    <x v="5"/>
    <x v="0"/>
    <x v="1"/>
    <x v="1"/>
    <x v="0"/>
    <x v="4"/>
    <x v="0"/>
    <x v="1"/>
    <x v="1"/>
    <n v="1"/>
    <n v="4"/>
    <n v="2"/>
    <n v="5"/>
    <n v="115.06"/>
    <x v="47"/>
    <m/>
    <n v="557.6865165165168"/>
    <x v="0"/>
    <n v="1.9139139139139139"/>
    <n v="557.6865165165168"/>
  </r>
  <r>
    <x v="130"/>
    <d v="2021-05-20T00:00:00"/>
    <x v="4"/>
    <x v="0"/>
    <x v="1"/>
    <x v="0"/>
    <x v="0"/>
    <x v="4"/>
    <x v="0"/>
    <x v="0"/>
    <x v="2"/>
    <n v="5"/>
    <n v="3"/>
    <n v="3"/>
    <n v="2"/>
    <n v="199.82"/>
    <x v="20"/>
    <m/>
    <n v="557.6865165165168"/>
    <x v="0"/>
    <n v="1.9139139139139139"/>
    <n v="557.6865165165168"/>
  </r>
  <r>
    <x v="131"/>
    <d v="2019-12-16T00:00:00"/>
    <x v="9"/>
    <x v="0"/>
    <x v="1"/>
    <x v="0"/>
    <x v="0"/>
    <x v="4"/>
    <x v="0"/>
    <x v="1"/>
    <x v="0"/>
    <n v="2"/>
    <n v="4"/>
    <n v="3"/>
    <n v="5"/>
    <n v="940.2"/>
    <x v="24"/>
    <m/>
    <n v="557.6865165165168"/>
    <x v="0"/>
    <n v="1.9139139139139139"/>
    <n v="557.6865165165168"/>
  </r>
  <r>
    <x v="132"/>
    <d v="2020-11-20T00:00:00"/>
    <x v="7"/>
    <x v="0"/>
    <x v="1"/>
    <x v="1"/>
    <x v="0"/>
    <x v="13"/>
    <x v="0"/>
    <x v="1"/>
    <x v="0"/>
    <n v="3"/>
    <n v="4"/>
    <n v="4"/>
    <n v="1"/>
    <n v="122.07"/>
    <x v="24"/>
    <m/>
    <n v="557.6865165165168"/>
    <x v="0"/>
    <n v="1.9139139139139139"/>
    <n v="557.6865165165168"/>
  </r>
  <r>
    <x v="133"/>
    <d v="2020-08-19T00:00:00"/>
    <x v="3"/>
    <x v="0"/>
    <x v="2"/>
    <x v="2"/>
    <x v="0"/>
    <x v="17"/>
    <x v="0"/>
    <x v="1"/>
    <x v="0"/>
    <n v="2"/>
    <n v="2"/>
    <n v="5"/>
    <n v="4"/>
    <n v="875.02"/>
    <x v="22"/>
    <m/>
    <n v="557.6865165165168"/>
    <x v="0"/>
    <n v="1.9139139139139139"/>
    <n v="557.6865165165168"/>
  </r>
  <r>
    <x v="134"/>
    <d v="2021-04-28T00:00:00"/>
    <x v="5"/>
    <x v="0"/>
    <x v="1"/>
    <x v="0"/>
    <x v="0"/>
    <x v="4"/>
    <x v="0"/>
    <x v="0"/>
    <x v="2"/>
    <n v="4"/>
    <n v="1"/>
    <n v="4"/>
    <n v="4"/>
    <n v="116.4"/>
    <x v="6"/>
    <m/>
    <n v="557.6865165165168"/>
    <x v="0"/>
    <n v="1.9139139139139139"/>
    <n v="557.6865165165168"/>
  </r>
  <r>
    <x v="135"/>
    <d v="2020-08-14T00:00:00"/>
    <x v="4"/>
    <x v="0"/>
    <x v="0"/>
    <x v="0"/>
    <x v="0"/>
    <x v="4"/>
    <x v="0"/>
    <x v="0"/>
    <x v="0"/>
    <n v="2"/>
    <n v="2"/>
    <n v="5"/>
    <n v="5"/>
    <n v="341.78"/>
    <x v="29"/>
    <m/>
    <n v="557.6865165165168"/>
    <x v="0"/>
    <n v="1.9139139139139139"/>
    <n v="557.6865165165168"/>
  </r>
  <r>
    <x v="136"/>
    <d v="2021-12-22T00:00:00"/>
    <x v="0"/>
    <x v="0"/>
    <x v="1"/>
    <x v="1"/>
    <x v="0"/>
    <x v="17"/>
    <x v="0"/>
    <x v="0"/>
    <x v="0"/>
    <n v="1"/>
    <n v="2"/>
    <n v="3"/>
    <n v="4"/>
    <n v="107.48"/>
    <x v="38"/>
    <m/>
    <n v="557.6865165165168"/>
    <x v="0"/>
    <n v="1.9139139139139139"/>
    <n v="557.6865165165168"/>
  </r>
  <r>
    <x v="137"/>
    <d v="2019-02-01T00:00:00"/>
    <x v="1"/>
    <x v="0"/>
    <x v="2"/>
    <x v="2"/>
    <x v="0"/>
    <x v="16"/>
    <x v="0"/>
    <x v="0"/>
    <x v="0"/>
    <n v="4"/>
    <n v="2"/>
    <n v="4"/>
    <n v="1"/>
    <n v="502.7"/>
    <x v="55"/>
    <m/>
    <n v="557.6865165165168"/>
    <x v="0"/>
    <n v="1.9139139139139139"/>
    <n v="557.6865165165168"/>
  </r>
  <r>
    <x v="138"/>
    <d v="2021-05-10T00:00:00"/>
    <x v="8"/>
    <x v="0"/>
    <x v="1"/>
    <x v="2"/>
    <x v="0"/>
    <x v="5"/>
    <x v="0"/>
    <x v="1"/>
    <x v="0"/>
    <n v="1"/>
    <n v="2"/>
    <n v="2"/>
    <n v="5"/>
    <n v="570.04"/>
    <x v="7"/>
    <m/>
    <n v="557.6865165165168"/>
    <x v="0"/>
    <n v="1.9139139139139139"/>
    <n v="557.6865165165168"/>
  </r>
  <r>
    <x v="139"/>
    <d v="2019-06-25T00:00:00"/>
    <x v="6"/>
    <x v="0"/>
    <x v="1"/>
    <x v="0"/>
    <x v="0"/>
    <x v="12"/>
    <x v="0"/>
    <x v="1"/>
    <x v="0"/>
    <n v="4"/>
    <n v="2"/>
    <n v="1"/>
    <n v="1"/>
    <n v="538.83000000000004"/>
    <x v="42"/>
    <m/>
    <n v="557.6865165165168"/>
    <x v="0"/>
    <n v="1.9139139139139139"/>
    <n v="557.6865165165168"/>
  </r>
  <r>
    <x v="140"/>
    <d v="2019-04-25T00:00:00"/>
    <x v="2"/>
    <x v="0"/>
    <x v="0"/>
    <x v="2"/>
    <x v="0"/>
    <x v="4"/>
    <x v="0"/>
    <x v="1"/>
    <x v="0"/>
    <n v="2"/>
    <n v="3"/>
    <n v="2"/>
    <n v="4"/>
    <n v="881.8"/>
    <x v="12"/>
    <m/>
    <n v="557.6865165165168"/>
    <x v="0"/>
    <n v="1.9139139139139139"/>
    <n v="557.6865165165168"/>
  </r>
  <r>
    <x v="141"/>
    <d v="2020-05-30T00:00:00"/>
    <x v="5"/>
    <x v="0"/>
    <x v="0"/>
    <x v="1"/>
    <x v="0"/>
    <x v="3"/>
    <x v="0"/>
    <x v="1"/>
    <x v="0"/>
    <n v="4"/>
    <n v="4"/>
    <n v="3"/>
    <n v="3"/>
    <n v="258.07"/>
    <x v="4"/>
    <m/>
    <n v="557.6865165165168"/>
    <x v="0"/>
    <n v="1.9139139139139139"/>
    <n v="557.6865165165168"/>
  </r>
  <r>
    <x v="142"/>
    <d v="2018-12-11T00:00:00"/>
    <x v="9"/>
    <x v="0"/>
    <x v="2"/>
    <x v="2"/>
    <x v="0"/>
    <x v="4"/>
    <x v="0"/>
    <x v="1"/>
    <x v="2"/>
    <n v="1"/>
    <n v="5"/>
    <n v="1"/>
    <n v="5"/>
    <n v="472.64"/>
    <x v="0"/>
    <m/>
    <n v="557.6865165165168"/>
    <x v="0"/>
    <n v="1.9139139139139139"/>
    <n v="557.6865165165168"/>
  </r>
  <r>
    <x v="143"/>
    <d v="2020-09-22T00:00:00"/>
    <x v="5"/>
    <x v="0"/>
    <x v="0"/>
    <x v="1"/>
    <x v="0"/>
    <x v="6"/>
    <x v="0"/>
    <x v="1"/>
    <x v="0"/>
    <n v="2"/>
    <n v="3"/>
    <n v="1"/>
    <n v="2"/>
    <n v="252.88"/>
    <x v="12"/>
    <m/>
    <n v="557.6865165165168"/>
    <x v="0"/>
    <n v="1.9139139139139139"/>
    <n v="557.6865165165168"/>
  </r>
  <r>
    <x v="144"/>
    <d v="2019-07-28T00:00:00"/>
    <x v="6"/>
    <x v="0"/>
    <x v="2"/>
    <x v="0"/>
    <x v="0"/>
    <x v="8"/>
    <x v="0"/>
    <x v="1"/>
    <x v="2"/>
    <n v="4"/>
    <n v="3"/>
    <n v="4"/>
    <n v="2"/>
    <n v="289.68"/>
    <x v="49"/>
    <m/>
    <n v="557.6865165165168"/>
    <x v="0"/>
    <n v="1.9139139139139139"/>
    <n v="557.6865165165168"/>
  </r>
  <r>
    <x v="145"/>
    <d v="2018-09-28T00:00:00"/>
    <x v="7"/>
    <x v="1"/>
    <x v="2"/>
    <x v="1"/>
    <x v="0"/>
    <x v="11"/>
    <x v="0"/>
    <x v="0"/>
    <x v="2"/>
    <n v="2"/>
    <n v="5"/>
    <n v="4"/>
    <n v="3"/>
    <n v="373.87"/>
    <x v="12"/>
    <m/>
    <n v="557.6865165165168"/>
    <x v="0"/>
    <n v="1.9139139139139139"/>
    <n v="557.6865165165168"/>
  </r>
  <r>
    <x v="146"/>
    <d v="2020-04-12T00:00:00"/>
    <x v="3"/>
    <x v="0"/>
    <x v="2"/>
    <x v="1"/>
    <x v="0"/>
    <x v="3"/>
    <x v="0"/>
    <x v="0"/>
    <x v="0"/>
    <n v="4"/>
    <n v="4"/>
    <n v="2"/>
    <n v="5"/>
    <n v="918.86"/>
    <x v="10"/>
    <m/>
    <n v="557.6865165165168"/>
    <x v="0"/>
    <n v="1.9139139139139139"/>
    <n v="557.6865165165168"/>
  </r>
  <r>
    <x v="147"/>
    <d v="2022-11-01T00:00:00"/>
    <x v="5"/>
    <x v="0"/>
    <x v="0"/>
    <x v="2"/>
    <x v="0"/>
    <x v="4"/>
    <x v="0"/>
    <x v="0"/>
    <x v="0"/>
    <n v="2"/>
    <n v="1"/>
    <n v="4"/>
    <n v="4"/>
    <n v="299.7"/>
    <x v="8"/>
    <m/>
    <n v="557.6865165165168"/>
    <x v="0"/>
    <n v="1.9139139139139139"/>
    <n v="557.6865165165168"/>
  </r>
  <r>
    <x v="148"/>
    <d v="2022-11-21T00:00:00"/>
    <x v="4"/>
    <x v="0"/>
    <x v="2"/>
    <x v="2"/>
    <x v="0"/>
    <x v="13"/>
    <x v="0"/>
    <x v="0"/>
    <x v="0"/>
    <n v="1"/>
    <n v="1"/>
    <n v="2"/>
    <n v="1"/>
    <n v="865.58"/>
    <x v="56"/>
    <m/>
    <n v="557.6865165165168"/>
    <x v="0"/>
    <n v="1.9139139139139139"/>
    <n v="557.6865165165168"/>
  </r>
  <r>
    <x v="149"/>
    <d v="2021-04-11T00:00:00"/>
    <x v="0"/>
    <x v="1"/>
    <x v="1"/>
    <x v="2"/>
    <x v="0"/>
    <x v="6"/>
    <x v="0"/>
    <x v="0"/>
    <x v="0"/>
    <n v="3"/>
    <n v="3"/>
    <n v="3"/>
    <n v="1"/>
    <n v="632.59"/>
    <x v="2"/>
    <m/>
    <n v="557.6865165165168"/>
    <x v="0"/>
    <n v="1.9139139139139139"/>
    <n v="557.6865165165168"/>
  </r>
  <r>
    <x v="150"/>
    <d v="2018-11-29T00:00:00"/>
    <x v="1"/>
    <x v="1"/>
    <x v="1"/>
    <x v="1"/>
    <x v="0"/>
    <x v="4"/>
    <x v="0"/>
    <x v="0"/>
    <x v="0"/>
    <n v="5"/>
    <n v="1"/>
    <n v="3"/>
    <n v="3"/>
    <n v="680.48"/>
    <x v="11"/>
    <m/>
    <n v="557.6865165165168"/>
    <x v="0"/>
    <n v="1.9139139139139139"/>
    <n v="557.6865165165168"/>
  </r>
  <r>
    <x v="151"/>
    <d v="2019-01-16T00:00:00"/>
    <x v="8"/>
    <x v="0"/>
    <x v="2"/>
    <x v="2"/>
    <x v="0"/>
    <x v="4"/>
    <x v="0"/>
    <x v="0"/>
    <x v="2"/>
    <n v="3"/>
    <n v="5"/>
    <n v="4"/>
    <n v="3"/>
    <n v="287.70999999999998"/>
    <x v="4"/>
    <m/>
    <n v="557.6865165165168"/>
    <x v="0"/>
    <n v="1.9139139139139139"/>
    <n v="557.6865165165168"/>
  </r>
  <r>
    <x v="152"/>
    <d v="2019-09-18T00:00:00"/>
    <x v="0"/>
    <x v="0"/>
    <x v="0"/>
    <x v="0"/>
    <x v="0"/>
    <x v="6"/>
    <x v="0"/>
    <x v="1"/>
    <x v="0"/>
    <n v="5"/>
    <n v="1"/>
    <n v="3"/>
    <n v="2"/>
    <n v="102.92"/>
    <x v="25"/>
    <m/>
    <n v="557.6865165165168"/>
    <x v="0"/>
    <n v="1.9139139139139139"/>
    <n v="557.6865165165168"/>
  </r>
  <r>
    <x v="153"/>
    <d v="2019-08-01T00:00:00"/>
    <x v="7"/>
    <x v="1"/>
    <x v="2"/>
    <x v="0"/>
    <x v="0"/>
    <x v="18"/>
    <x v="0"/>
    <x v="1"/>
    <x v="0"/>
    <n v="3"/>
    <n v="5"/>
    <n v="1"/>
    <n v="2"/>
    <n v="255.6"/>
    <x v="57"/>
    <m/>
    <n v="557.6865165165168"/>
    <x v="0"/>
    <n v="1.9139139139139139"/>
    <n v="557.6865165165168"/>
  </r>
  <r>
    <x v="154"/>
    <d v="2019-06-18T00:00:00"/>
    <x v="1"/>
    <x v="0"/>
    <x v="1"/>
    <x v="1"/>
    <x v="0"/>
    <x v="9"/>
    <x v="0"/>
    <x v="1"/>
    <x v="0"/>
    <n v="2"/>
    <n v="4"/>
    <n v="1"/>
    <n v="4"/>
    <n v="321.91000000000003"/>
    <x v="28"/>
    <m/>
    <n v="557.6865165165168"/>
    <x v="0"/>
    <n v="1.9139139139139139"/>
    <n v="557.6865165165168"/>
  </r>
  <r>
    <x v="155"/>
    <d v="2019-02-13T00:00:00"/>
    <x v="8"/>
    <x v="0"/>
    <x v="1"/>
    <x v="0"/>
    <x v="0"/>
    <x v="4"/>
    <x v="0"/>
    <x v="1"/>
    <x v="0"/>
    <n v="1"/>
    <n v="3"/>
    <n v="1"/>
    <n v="3"/>
    <n v="834.12"/>
    <x v="21"/>
    <m/>
    <n v="557.6865165165168"/>
    <x v="0"/>
    <n v="1.9139139139139139"/>
    <n v="557.6865165165168"/>
  </r>
  <r>
    <x v="156"/>
    <d v="2021-06-02T00:00:00"/>
    <x v="3"/>
    <x v="0"/>
    <x v="0"/>
    <x v="2"/>
    <x v="0"/>
    <x v="12"/>
    <x v="0"/>
    <x v="0"/>
    <x v="0"/>
    <n v="2"/>
    <n v="2"/>
    <n v="4"/>
    <n v="4"/>
    <n v="273.88"/>
    <x v="39"/>
    <m/>
    <n v="557.6865165165168"/>
    <x v="0"/>
    <n v="1.9139139139139139"/>
    <n v="557.6865165165168"/>
  </r>
  <r>
    <x v="157"/>
    <d v="2018-10-11T00:00:00"/>
    <x v="9"/>
    <x v="0"/>
    <x v="2"/>
    <x v="0"/>
    <x v="0"/>
    <x v="4"/>
    <x v="0"/>
    <x v="0"/>
    <x v="0"/>
    <n v="4"/>
    <n v="5"/>
    <n v="5"/>
    <n v="4"/>
    <n v="217.57"/>
    <x v="54"/>
    <m/>
    <n v="557.6865165165168"/>
    <x v="0"/>
    <n v="1.9139139139139139"/>
    <n v="557.6865165165168"/>
  </r>
  <r>
    <x v="158"/>
    <d v="2021-03-09T00:00:00"/>
    <x v="5"/>
    <x v="0"/>
    <x v="0"/>
    <x v="0"/>
    <x v="0"/>
    <x v="9"/>
    <x v="0"/>
    <x v="0"/>
    <x v="0"/>
    <n v="2"/>
    <n v="3"/>
    <n v="4"/>
    <n v="1"/>
    <n v="482.09"/>
    <x v="26"/>
    <m/>
    <n v="557.6865165165168"/>
    <x v="0"/>
    <n v="1.9139139139139139"/>
    <n v="557.6865165165168"/>
  </r>
  <r>
    <x v="159"/>
    <d v="2022-01-23T00:00:00"/>
    <x v="6"/>
    <x v="0"/>
    <x v="0"/>
    <x v="1"/>
    <x v="0"/>
    <x v="4"/>
    <x v="0"/>
    <x v="1"/>
    <x v="3"/>
    <n v="5"/>
    <n v="3"/>
    <n v="3"/>
    <n v="2"/>
    <n v="614.11"/>
    <x v="15"/>
    <m/>
    <n v="557.6865165165168"/>
    <x v="0"/>
    <n v="1.9139139139139139"/>
    <n v="557.6865165165168"/>
  </r>
  <r>
    <x v="160"/>
    <d v="2019-02-24T00:00:00"/>
    <x v="2"/>
    <x v="0"/>
    <x v="0"/>
    <x v="2"/>
    <x v="0"/>
    <x v="4"/>
    <x v="0"/>
    <x v="1"/>
    <x v="1"/>
    <n v="1"/>
    <n v="5"/>
    <n v="2"/>
    <n v="1"/>
    <n v="354.22"/>
    <x v="51"/>
    <m/>
    <n v="557.6865165165168"/>
    <x v="0"/>
    <n v="1.9139139139139139"/>
    <n v="557.6865165165168"/>
  </r>
  <r>
    <x v="161"/>
    <d v="2020-01-08T00:00:00"/>
    <x v="4"/>
    <x v="0"/>
    <x v="0"/>
    <x v="2"/>
    <x v="0"/>
    <x v="9"/>
    <x v="0"/>
    <x v="1"/>
    <x v="0"/>
    <n v="4"/>
    <n v="5"/>
    <n v="1"/>
    <n v="3"/>
    <n v="868.85"/>
    <x v="42"/>
    <m/>
    <n v="557.6865165165168"/>
    <x v="0"/>
    <n v="1.9139139139139139"/>
    <n v="557.6865165165168"/>
  </r>
  <r>
    <x v="162"/>
    <d v="2022-02-12T00:00:00"/>
    <x v="7"/>
    <x v="0"/>
    <x v="0"/>
    <x v="0"/>
    <x v="0"/>
    <x v="3"/>
    <x v="0"/>
    <x v="0"/>
    <x v="0"/>
    <n v="1"/>
    <n v="1"/>
    <n v="1"/>
    <n v="4"/>
    <n v="134.93"/>
    <x v="11"/>
    <m/>
    <n v="557.6865165165168"/>
    <x v="0"/>
    <n v="1.9139139139139139"/>
    <n v="557.6865165165168"/>
  </r>
  <r>
    <x v="163"/>
    <d v="2023-02-01T00:00:00"/>
    <x v="1"/>
    <x v="0"/>
    <x v="1"/>
    <x v="0"/>
    <x v="0"/>
    <x v="13"/>
    <x v="0"/>
    <x v="0"/>
    <x v="0"/>
    <n v="2"/>
    <n v="3"/>
    <n v="3"/>
    <n v="5"/>
    <n v="531.1"/>
    <x v="47"/>
    <m/>
    <n v="557.6865165165168"/>
    <x v="0"/>
    <n v="1.9139139139139139"/>
    <n v="557.6865165165168"/>
  </r>
  <r>
    <x v="164"/>
    <d v="2023-02-04T00:00:00"/>
    <x v="8"/>
    <x v="0"/>
    <x v="2"/>
    <x v="2"/>
    <x v="0"/>
    <x v="8"/>
    <x v="0"/>
    <x v="1"/>
    <x v="0"/>
    <n v="3"/>
    <n v="4"/>
    <n v="5"/>
    <n v="3"/>
    <n v="609.29999999999995"/>
    <x v="45"/>
    <m/>
    <n v="557.6865165165168"/>
    <x v="0"/>
    <n v="1.9139139139139139"/>
    <n v="557.6865165165168"/>
  </r>
  <r>
    <x v="165"/>
    <d v="2023-03-23T00:00:00"/>
    <x v="3"/>
    <x v="0"/>
    <x v="1"/>
    <x v="1"/>
    <x v="0"/>
    <x v="3"/>
    <x v="0"/>
    <x v="1"/>
    <x v="0"/>
    <n v="1"/>
    <n v="5"/>
    <n v="2"/>
    <n v="2"/>
    <n v="656.68"/>
    <x v="52"/>
    <m/>
    <n v="557.6865165165168"/>
    <x v="0"/>
    <n v="1.9139139139139139"/>
    <n v="557.6865165165168"/>
  </r>
  <r>
    <x v="166"/>
    <d v="2023-03-22T00:00:00"/>
    <x v="9"/>
    <x v="0"/>
    <x v="2"/>
    <x v="1"/>
    <x v="0"/>
    <x v="5"/>
    <x v="0"/>
    <x v="1"/>
    <x v="0"/>
    <n v="1"/>
    <n v="2"/>
    <n v="2"/>
    <n v="3"/>
    <n v="654.22"/>
    <x v="38"/>
    <m/>
    <n v="557.6865165165168"/>
    <x v="0"/>
    <n v="1.9139139139139139"/>
    <n v="557.6865165165168"/>
  </r>
  <r>
    <x v="167"/>
    <d v="2018-11-28T00:00:00"/>
    <x v="5"/>
    <x v="0"/>
    <x v="0"/>
    <x v="1"/>
    <x v="0"/>
    <x v="15"/>
    <x v="0"/>
    <x v="1"/>
    <x v="0"/>
    <n v="2"/>
    <n v="3"/>
    <n v="2"/>
    <n v="3"/>
    <n v="879.89"/>
    <x v="30"/>
    <m/>
    <n v="557.6865165165168"/>
    <x v="0"/>
    <n v="1.9139139139139139"/>
    <n v="557.6865165165168"/>
  </r>
  <r>
    <x v="168"/>
    <d v="2020-07-09T00:00:00"/>
    <x v="7"/>
    <x v="0"/>
    <x v="2"/>
    <x v="1"/>
    <x v="0"/>
    <x v="4"/>
    <x v="0"/>
    <x v="0"/>
    <x v="0"/>
    <n v="3"/>
    <n v="1"/>
    <n v="5"/>
    <n v="1"/>
    <n v="977.23"/>
    <x v="17"/>
    <m/>
    <n v="557.6865165165168"/>
    <x v="0"/>
    <n v="1.9139139139139139"/>
    <n v="557.6865165165168"/>
  </r>
  <r>
    <x v="169"/>
    <d v="2019-02-11T00:00:00"/>
    <x v="1"/>
    <x v="0"/>
    <x v="2"/>
    <x v="1"/>
    <x v="0"/>
    <x v="6"/>
    <x v="0"/>
    <x v="0"/>
    <x v="0"/>
    <n v="2"/>
    <n v="2"/>
    <n v="5"/>
    <n v="2"/>
    <n v="763.37"/>
    <x v="34"/>
    <m/>
    <n v="557.6865165165168"/>
    <x v="0"/>
    <n v="1.9139139139139139"/>
    <n v="557.6865165165168"/>
  </r>
  <r>
    <x v="170"/>
    <d v="2020-01-09T00:00:00"/>
    <x v="8"/>
    <x v="0"/>
    <x v="2"/>
    <x v="2"/>
    <x v="0"/>
    <x v="19"/>
    <x v="0"/>
    <x v="0"/>
    <x v="0"/>
    <n v="2"/>
    <n v="2"/>
    <n v="2"/>
    <n v="5"/>
    <n v="962.13"/>
    <x v="46"/>
    <m/>
    <n v="557.6865165165168"/>
    <x v="0"/>
    <n v="1.9139139139139139"/>
    <n v="557.6865165165168"/>
  </r>
  <r>
    <x v="171"/>
    <d v="2021-11-11T00:00:00"/>
    <x v="3"/>
    <x v="1"/>
    <x v="0"/>
    <x v="2"/>
    <x v="0"/>
    <x v="6"/>
    <x v="0"/>
    <x v="0"/>
    <x v="0"/>
    <n v="5"/>
    <n v="2"/>
    <n v="4"/>
    <n v="2"/>
    <n v="617.27"/>
    <x v="51"/>
    <m/>
    <n v="557.6865165165168"/>
    <x v="0"/>
    <n v="1.9139139139139139"/>
    <n v="557.6865165165168"/>
  </r>
  <r>
    <x v="172"/>
    <d v="2021-05-15T00:00:00"/>
    <x v="9"/>
    <x v="0"/>
    <x v="1"/>
    <x v="2"/>
    <x v="0"/>
    <x v="4"/>
    <x v="0"/>
    <x v="0"/>
    <x v="0"/>
    <n v="2"/>
    <n v="5"/>
    <n v="1"/>
    <n v="2"/>
    <n v="559.78"/>
    <x v="39"/>
    <m/>
    <n v="557.6865165165168"/>
    <x v="0"/>
    <n v="1.9139139139139139"/>
    <n v="557.6865165165168"/>
  </r>
  <r>
    <x v="173"/>
    <d v="2019-08-21T00:00:00"/>
    <x v="5"/>
    <x v="1"/>
    <x v="0"/>
    <x v="0"/>
    <x v="0"/>
    <x v="4"/>
    <x v="0"/>
    <x v="0"/>
    <x v="0"/>
    <n v="1"/>
    <n v="1"/>
    <n v="4"/>
    <n v="5"/>
    <n v="113.89"/>
    <x v="22"/>
    <m/>
    <n v="557.6865165165168"/>
    <x v="0"/>
    <n v="1.9139139139139139"/>
    <n v="557.6865165165168"/>
  </r>
  <r>
    <x v="174"/>
    <d v="2020-09-18T00:00:00"/>
    <x v="6"/>
    <x v="0"/>
    <x v="0"/>
    <x v="2"/>
    <x v="0"/>
    <x v="6"/>
    <x v="0"/>
    <x v="0"/>
    <x v="0"/>
    <n v="4"/>
    <n v="3"/>
    <n v="1"/>
    <n v="4"/>
    <n v="858.62"/>
    <x v="50"/>
    <m/>
    <n v="557.6865165165168"/>
    <x v="0"/>
    <n v="1.9139139139139139"/>
    <n v="557.6865165165168"/>
  </r>
  <r>
    <x v="175"/>
    <d v="2022-08-27T00:00:00"/>
    <x v="6"/>
    <x v="1"/>
    <x v="0"/>
    <x v="2"/>
    <x v="0"/>
    <x v="4"/>
    <x v="0"/>
    <x v="1"/>
    <x v="0"/>
    <n v="2"/>
    <n v="4"/>
    <n v="4"/>
    <n v="1"/>
    <n v="343.76"/>
    <x v="52"/>
    <m/>
    <n v="557.6865165165168"/>
    <x v="0"/>
    <n v="1.9139139139139139"/>
    <n v="557.6865165165168"/>
  </r>
  <r>
    <x v="176"/>
    <d v="2019-02-23T00:00:00"/>
    <x v="8"/>
    <x v="0"/>
    <x v="0"/>
    <x v="2"/>
    <x v="0"/>
    <x v="4"/>
    <x v="0"/>
    <x v="1"/>
    <x v="0"/>
    <n v="5"/>
    <n v="3"/>
    <n v="2"/>
    <n v="5"/>
    <n v="507.58"/>
    <x v="57"/>
    <m/>
    <n v="557.6865165165168"/>
    <x v="0"/>
    <n v="1.9139139139139139"/>
    <n v="557.6865165165168"/>
  </r>
  <r>
    <x v="177"/>
    <d v="2022-08-08T00:00:00"/>
    <x v="1"/>
    <x v="0"/>
    <x v="0"/>
    <x v="0"/>
    <x v="0"/>
    <x v="13"/>
    <x v="0"/>
    <x v="1"/>
    <x v="0"/>
    <n v="4"/>
    <n v="1"/>
    <n v="5"/>
    <n v="1"/>
    <n v="691.12"/>
    <x v="20"/>
    <m/>
    <n v="557.6865165165168"/>
    <x v="0"/>
    <n v="1.9139139139139139"/>
    <n v="557.6865165165168"/>
  </r>
  <r>
    <x v="178"/>
    <d v="2022-09-24T00:00:00"/>
    <x v="0"/>
    <x v="0"/>
    <x v="0"/>
    <x v="0"/>
    <x v="0"/>
    <x v="4"/>
    <x v="0"/>
    <x v="1"/>
    <x v="0"/>
    <n v="3"/>
    <n v="4"/>
    <n v="5"/>
    <n v="2"/>
    <n v="174.85"/>
    <x v="24"/>
    <m/>
    <n v="557.6865165165168"/>
    <x v="0"/>
    <n v="1.9139139139139139"/>
    <n v="557.6865165165168"/>
  </r>
  <r>
    <x v="179"/>
    <d v="2022-03-21T00:00:00"/>
    <x v="4"/>
    <x v="0"/>
    <x v="0"/>
    <x v="2"/>
    <x v="0"/>
    <x v="1"/>
    <x v="0"/>
    <x v="0"/>
    <x v="0"/>
    <n v="4"/>
    <n v="4"/>
    <n v="4"/>
    <n v="3"/>
    <n v="699.39"/>
    <x v="41"/>
    <m/>
    <n v="557.6865165165168"/>
    <x v="0"/>
    <n v="1.9139139139139139"/>
    <n v="557.6865165165168"/>
  </r>
  <r>
    <x v="180"/>
    <d v="2023-06-23T00:00:00"/>
    <x v="9"/>
    <x v="0"/>
    <x v="2"/>
    <x v="2"/>
    <x v="0"/>
    <x v="2"/>
    <x v="0"/>
    <x v="0"/>
    <x v="0"/>
    <n v="2"/>
    <n v="5"/>
    <n v="2"/>
    <n v="3"/>
    <n v="254.68"/>
    <x v="34"/>
    <m/>
    <n v="557.6865165165168"/>
    <x v="0"/>
    <n v="1.9139139139139139"/>
    <n v="557.6865165165168"/>
  </r>
  <r>
    <x v="181"/>
    <d v="2020-10-26T00:00:00"/>
    <x v="5"/>
    <x v="0"/>
    <x v="2"/>
    <x v="0"/>
    <x v="0"/>
    <x v="17"/>
    <x v="0"/>
    <x v="0"/>
    <x v="0"/>
    <n v="1"/>
    <n v="5"/>
    <n v="4"/>
    <n v="2"/>
    <n v="534.54999999999995"/>
    <x v="58"/>
    <m/>
    <n v="557.6865165165168"/>
    <x v="0"/>
    <n v="1.9139139139139139"/>
    <n v="557.6865165165168"/>
  </r>
  <r>
    <x v="182"/>
    <d v="2020-01-29T00:00:00"/>
    <x v="6"/>
    <x v="0"/>
    <x v="0"/>
    <x v="2"/>
    <x v="0"/>
    <x v="14"/>
    <x v="0"/>
    <x v="1"/>
    <x v="0"/>
    <n v="3"/>
    <n v="5"/>
    <n v="3"/>
    <n v="3"/>
    <n v="795.72"/>
    <x v="15"/>
    <m/>
    <n v="557.6865165165168"/>
    <x v="0"/>
    <n v="1.9139139139139139"/>
    <n v="557.6865165165168"/>
  </r>
  <r>
    <x v="183"/>
    <d v="2022-04-23T00:00:00"/>
    <x v="2"/>
    <x v="0"/>
    <x v="1"/>
    <x v="0"/>
    <x v="0"/>
    <x v="1"/>
    <x v="0"/>
    <x v="1"/>
    <x v="0"/>
    <n v="2"/>
    <n v="1"/>
    <n v="3"/>
    <n v="4"/>
    <n v="977.23"/>
    <x v="2"/>
    <m/>
    <n v="557.6865165165168"/>
    <x v="0"/>
    <n v="1.9139139139139139"/>
    <n v="557.6865165165168"/>
  </r>
  <r>
    <x v="184"/>
    <d v="2023-06-15T00:00:00"/>
    <x v="4"/>
    <x v="0"/>
    <x v="1"/>
    <x v="0"/>
    <x v="0"/>
    <x v="4"/>
    <x v="0"/>
    <x v="1"/>
    <x v="0"/>
    <n v="4"/>
    <n v="5"/>
    <n v="1"/>
    <n v="3"/>
    <n v="370.79"/>
    <x v="54"/>
    <m/>
    <n v="557.6865165165168"/>
    <x v="0"/>
    <n v="1.9139139139139139"/>
    <n v="557.6865165165168"/>
  </r>
  <r>
    <x v="185"/>
    <d v="2023-01-07T00:00:00"/>
    <x v="7"/>
    <x v="0"/>
    <x v="0"/>
    <x v="1"/>
    <x v="0"/>
    <x v="4"/>
    <x v="0"/>
    <x v="0"/>
    <x v="0"/>
    <n v="2"/>
    <n v="1"/>
    <n v="2"/>
    <n v="1"/>
    <n v="699.48"/>
    <x v="3"/>
    <m/>
    <n v="557.6865165165168"/>
    <x v="0"/>
    <n v="1.9139139139139139"/>
    <n v="557.6865165165168"/>
  </r>
  <r>
    <x v="186"/>
    <d v="2020-04-16T00:00:00"/>
    <x v="3"/>
    <x v="0"/>
    <x v="1"/>
    <x v="1"/>
    <x v="0"/>
    <x v="14"/>
    <x v="0"/>
    <x v="1"/>
    <x v="0"/>
    <n v="1"/>
    <n v="5"/>
    <n v="3"/>
    <n v="4"/>
    <n v="712.43"/>
    <x v="9"/>
    <m/>
    <n v="557.6865165165168"/>
    <x v="0"/>
    <n v="1.9139139139139139"/>
    <n v="557.6865165165168"/>
  </r>
  <r>
    <x v="187"/>
    <d v="2022-06-16T00:00:00"/>
    <x v="9"/>
    <x v="0"/>
    <x v="2"/>
    <x v="2"/>
    <x v="0"/>
    <x v="4"/>
    <x v="0"/>
    <x v="1"/>
    <x v="0"/>
    <n v="4"/>
    <n v="4"/>
    <n v="4"/>
    <n v="1"/>
    <n v="504.66"/>
    <x v="16"/>
    <m/>
    <n v="557.6865165165168"/>
    <x v="0"/>
    <n v="1.9139139139139139"/>
    <n v="557.6865165165168"/>
  </r>
  <r>
    <x v="188"/>
    <d v="2019-07-22T00:00:00"/>
    <x v="5"/>
    <x v="0"/>
    <x v="2"/>
    <x v="0"/>
    <x v="0"/>
    <x v="3"/>
    <x v="0"/>
    <x v="1"/>
    <x v="0"/>
    <n v="1"/>
    <n v="3"/>
    <n v="3"/>
    <n v="5"/>
    <n v="398.36"/>
    <x v="58"/>
    <m/>
    <n v="557.6865165165168"/>
    <x v="0"/>
    <n v="1.9139139139139139"/>
    <n v="557.6865165165168"/>
  </r>
  <r>
    <x v="189"/>
    <d v="2023-04-22T00:00:00"/>
    <x v="7"/>
    <x v="0"/>
    <x v="2"/>
    <x v="1"/>
    <x v="0"/>
    <x v="8"/>
    <x v="0"/>
    <x v="0"/>
    <x v="0"/>
    <n v="5"/>
    <n v="4"/>
    <n v="4"/>
    <n v="4"/>
    <n v="533.61"/>
    <x v="31"/>
    <m/>
    <n v="557.6865165165168"/>
    <x v="0"/>
    <n v="1.9139139139139139"/>
    <n v="557.6865165165168"/>
  </r>
  <r>
    <x v="190"/>
    <d v="2020-12-28T00:00:00"/>
    <x v="1"/>
    <x v="1"/>
    <x v="2"/>
    <x v="1"/>
    <x v="0"/>
    <x v="6"/>
    <x v="0"/>
    <x v="0"/>
    <x v="0"/>
    <n v="2"/>
    <n v="4"/>
    <n v="4"/>
    <n v="4"/>
    <n v="199.55"/>
    <x v="57"/>
    <m/>
    <n v="557.6865165165168"/>
    <x v="0"/>
    <n v="1.9139139139139139"/>
    <n v="557.6865165165168"/>
  </r>
  <r>
    <x v="191"/>
    <d v="2022-02-23T00:00:00"/>
    <x v="8"/>
    <x v="0"/>
    <x v="0"/>
    <x v="1"/>
    <x v="0"/>
    <x v="1"/>
    <x v="0"/>
    <x v="0"/>
    <x v="1"/>
    <n v="3"/>
    <n v="3"/>
    <n v="5"/>
    <n v="2"/>
    <n v="325.77999999999997"/>
    <x v="50"/>
    <m/>
    <n v="557.6865165165168"/>
    <x v="0"/>
    <n v="1.9139139139139139"/>
    <n v="557.6865165165168"/>
  </r>
  <r>
    <x v="192"/>
    <d v="2022-08-13T00:00:00"/>
    <x v="3"/>
    <x v="0"/>
    <x v="0"/>
    <x v="1"/>
    <x v="0"/>
    <x v="4"/>
    <x v="0"/>
    <x v="0"/>
    <x v="1"/>
    <n v="1"/>
    <n v="2"/>
    <n v="2"/>
    <n v="4"/>
    <n v="336.33"/>
    <x v="57"/>
    <m/>
    <n v="557.6865165165168"/>
    <x v="0"/>
    <n v="1.9139139139139139"/>
    <n v="557.6865165165168"/>
  </r>
  <r>
    <x v="193"/>
    <d v="2019-10-03T00:00:00"/>
    <x v="9"/>
    <x v="1"/>
    <x v="1"/>
    <x v="2"/>
    <x v="0"/>
    <x v="4"/>
    <x v="0"/>
    <x v="0"/>
    <x v="0"/>
    <n v="3"/>
    <n v="2"/>
    <n v="4"/>
    <n v="4"/>
    <n v="242.71"/>
    <x v="39"/>
    <m/>
    <n v="557.6865165165168"/>
    <x v="0"/>
    <n v="1.9139139139139139"/>
    <n v="557.6865165165168"/>
  </r>
  <r>
    <x v="194"/>
    <d v="2019-10-14T00:00:00"/>
    <x v="5"/>
    <x v="0"/>
    <x v="1"/>
    <x v="0"/>
    <x v="0"/>
    <x v="3"/>
    <x v="0"/>
    <x v="0"/>
    <x v="0"/>
    <n v="1"/>
    <n v="4"/>
    <n v="1"/>
    <n v="4"/>
    <n v="651.28"/>
    <x v="39"/>
    <m/>
    <n v="557.6865165165168"/>
    <x v="0"/>
    <n v="1.9139139139139139"/>
    <n v="557.6865165165168"/>
  </r>
  <r>
    <x v="195"/>
    <d v="2019-08-30T00:00:00"/>
    <x v="6"/>
    <x v="1"/>
    <x v="2"/>
    <x v="0"/>
    <x v="0"/>
    <x v="4"/>
    <x v="0"/>
    <x v="1"/>
    <x v="0"/>
    <n v="1"/>
    <n v="5"/>
    <n v="2"/>
    <n v="3"/>
    <n v="962.45"/>
    <x v="8"/>
    <m/>
    <n v="557.6865165165168"/>
    <x v="0"/>
    <n v="1.9139139139139139"/>
    <n v="557.6865165165168"/>
  </r>
  <r>
    <x v="196"/>
    <d v="2021-02-04T00:00:00"/>
    <x v="2"/>
    <x v="1"/>
    <x v="0"/>
    <x v="2"/>
    <x v="0"/>
    <x v="3"/>
    <x v="0"/>
    <x v="1"/>
    <x v="1"/>
    <n v="4"/>
    <n v="4"/>
    <n v="3"/>
    <n v="1"/>
    <n v="791.72"/>
    <x v="18"/>
    <m/>
    <n v="557.6865165165168"/>
    <x v="0"/>
    <n v="1.9139139139139139"/>
    <n v="557.6865165165168"/>
  </r>
  <r>
    <x v="197"/>
    <d v="2022-11-23T00:00:00"/>
    <x v="9"/>
    <x v="0"/>
    <x v="2"/>
    <x v="1"/>
    <x v="0"/>
    <x v="1"/>
    <x v="0"/>
    <x v="1"/>
    <x v="1"/>
    <n v="2"/>
    <n v="4"/>
    <n v="1"/>
    <n v="4"/>
    <n v="553.86"/>
    <x v="2"/>
    <m/>
    <n v="557.6865165165168"/>
    <x v="0"/>
    <n v="1.9139139139139139"/>
    <n v="557.6865165165168"/>
  </r>
  <r>
    <x v="198"/>
    <d v="2023-02-25T00:00:00"/>
    <x v="7"/>
    <x v="0"/>
    <x v="2"/>
    <x v="0"/>
    <x v="0"/>
    <x v="6"/>
    <x v="0"/>
    <x v="1"/>
    <x v="0"/>
    <n v="1"/>
    <n v="5"/>
    <n v="1"/>
    <n v="1"/>
    <n v="735.72"/>
    <x v="17"/>
    <m/>
    <n v="557.6865165165168"/>
    <x v="0"/>
    <n v="1.9139139139139139"/>
    <n v="557.6865165165168"/>
  </r>
  <r>
    <x v="199"/>
    <d v="2019-12-15T00:00:00"/>
    <x v="3"/>
    <x v="0"/>
    <x v="2"/>
    <x v="2"/>
    <x v="0"/>
    <x v="20"/>
    <x v="0"/>
    <x v="1"/>
    <x v="1"/>
    <n v="5"/>
    <n v="3"/>
    <n v="2"/>
    <n v="4"/>
    <n v="867.03"/>
    <x v="43"/>
    <m/>
    <n v="557.6865165165168"/>
    <x v="0"/>
    <n v="1.9139139139139139"/>
    <n v="557.6865165165168"/>
  </r>
  <r>
    <x v="200"/>
    <d v="2021-08-29T00:00:00"/>
    <x v="5"/>
    <x v="0"/>
    <x v="2"/>
    <x v="0"/>
    <x v="0"/>
    <x v="3"/>
    <x v="0"/>
    <x v="0"/>
    <x v="0"/>
    <n v="4"/>
    <n v="2"/>
    <n v="4"/>
    <n v="1"/>
    <n v="710.14"/>
    <x v="38"/>
    <m/>
    <n v="557.6865165165168"/>
    <x v="0"/>
    <n v="1.9139139139139139"/>
    <n v="557.6865165165168"/>
  </r>
  <r>
    <x v="201"/>
    <d v="2022-11-04T00:00:00"/>
    <x v="4"/>
    <x v="0"/>
    <x v="2"/>
    <x v="0"/>
    <x v="0"/>
    <x v="9"/>
    <x v="0"/>
    <x v="0"/>
    <x v="0"/>
    <n v="5"/>
    <n v="4"/>
    <n v="2"/>
    <n v="2"/>
    <n v="799.88"/>
    <x v="56"/>
    <m/>
    <n v="557.6865165165168"/>
    <x v="0"/>
    <n v="1.9139139139139139"/>
    <n v="557.6865165165168"/>
  </r>
  <r>
    <x v="202"/>
    <d v="2019-10-02T00:00:00"/>
    <x v="0"/>
    <x v="0"/>
    <x v="1"/>
    <x v="1"/>
    <x v="0"/>
    <x v="4"/>
    <x v="0"/>
    <x v="1"/>
    <x v="1"/>
    <n v="3"/>
    <n v="1"/>
    <n v="5"/>
    <n v="5"/>
    <n v="242.87"/>
    <x v="13"/>
    <m/>
    <n v="557.6865165165168"/>
    <x v="0"/>
    <n v="1.9139139139139139"/>
    <n v="557.6865165165168"/>
  </r>
  <r>
    <x v="203"/>
    <d v="2019-05-24T00:00:00"/>
    <x v="1"/>
    <x v="0"/>
    <x v="1"/>
    <x v="1"/>
    <x v="0"/>
    <x v="4"/>
    <x v="0"/>
    <x v="1"/>
    <x v="1"/>
    <n v="3"/>
    <n v="2"/>
    <n v="4"/>
    <n v="4"/>
    <n v="849.77"/>
    <x v="54"/>
    <m/>
    <n v="557.6865165165168"/>
    <x v="0"/>
    <n v="1.9139139139139139"/>
    <n v="557.6865165165168"/>
  </r>
  <r>
    <x v="204"/>
    <d v="2022-02-28T00:00:00"/>
    <x v="8"/>
    <x v="0"/>
    <x v="0"/>
    <x v="0"/>
    <x v="0"/>
    <x v="7"/>
    <x v="0"/>
    <x v="1"/>
    <x v="0"/>
    <n v="3"/>
    <n v="2"/>
    <n v="5"/>
    <n v="2"/>
    <n v="471.5"/>
    <x v="10"/>
    <m/>
    <n v="557.6865165165168"/>
    <x v="0"/>
    <n v="1.9139139139139139"/>
    <n v="557.6865165165168"/>
  </r>
  <r>
    <x v="205"/>
    <d v="2023-06-13T00:00:00"/>
    <x v="6"/>
    <x v="0"/>
    <x v="1"/>
    <x v="2"/>
    <x v="0"/>
    <x v="13"/>
    <x v="0"/>
    <x v="1"/>
    <x v="1"/>
    <n v="3"/>
    <n v="5"/>
    <n v="3"/>
    <n v="1"/>
    <n v="535.92999999999995"/>
    <x v="0"/>
    <m/>
    <n v="557.6865165165168"/>
    <x v="0"/>
    <n v="1.9139139139139139"/>
    <n v="557.6865165165168"/>
  </r>
  <r>
    <x v="206"/>
    <d v="2019-11-22T00:00:00"/>
    <x v="7"/>
    <x v="0"/>
    <x v="1"/>
    <x v="2"/>
    <x v="0"/>
    <x v="4"/>
    <x v="0"/>
    <x v="1"/>
    <x v="0"/>
    <n v="5"/>
    <n v="2"/>
    <n v="1"/>
    <n v="3"/>
    <n v="752.33"/>
    <x v="48"/>
    <m/>
    <n v="557.6865165165168"/>
    <x v="0"/>
    <n v="1.9139139139139139"/>
    <n v="557.6865165165168"/>
  </r>
  <r>
    <x v="207"/>
    <d v="2022-04-29T00:00:00"/>
    <x v="3"/>
    <x v="0"/>
    <x v="1"/>
    <x v="1"/>
    <x v="0"/>
    <x v="4"/>
    <x v="0"/>
    <x v="1"/>
    <x v="0"/>
    <n v="5"/>
    <n v="2"/>
    <n v="1"/>
    <n v="3"/>
    <n v="343.52"/>
    <x v="59"/>
    <m/>
    <n v="557.6865165165168"/>
    <x v="0"/>
    <n v="1.9139139139139139"/>
    <n v="557.6865165165168"/>
  </r>
  <r>
    <x v="208"/>
    <d v="2022-12-11T00:00:00"/>
    <x v="5"/>
    <x v="0"/>
    <x v="2"/>
    <x v="2"/>
    <x v="0"/>
    <x v="18"/>
    <x v="0"/>
    <x v="1"/>
    <x v="0"/>
    <n v="1"/>
    <n v="1"/>
    <n v="2"/>
    <n v="3"/>
    <n v="860.31"/>
    <x v="46"/>
    <m/>
    <n v="557.6865165165168"/>
    <x v="0"/>
    <n v="1.9139139139139139"/>
    <n v="557.6865165165168"/>
  </r>
  <r>
    <x v="209"/>
    <d v="2023-08-06T00:00:00"/>
    <x v="4"/>
    <x v="0"/>
    <x v="1"/>
    <x v="0"/>
    <x v="0"/>
    <x v="20"/>
    <x v="0"/>
    <x v="1"/>
    <x v="2"/>
    <n v="1"/>
    <n v="5"/>
    <n v="1"/>
    <n v="4"/>
    <n v="265.55"/>
    <x v="2"/>
    <m/>
    <n v="557.6865165165168"/>
    <x v="0"/>
    <n v="1.9139139139139139"/>
    <n v="557.6865165165168"/>
  </r>
  <r>
    <x v="210"/>
    <d v="2020-03-28T00:00:00"/>
    <x v="0"/>
    <x v="1"/>
    <x v="0"/>
    <x v="1"/>
    <x v="0"/>
    <x v="0"/>
    <x v="0"/>
    <x v="1"/>
    <x v="0"/>
    <n v="4"/>
    <n v="2"/>
    <n v="4"/>
    <n v="1"/>
    <n v="183.85"/>
    <x v="19"/>
    <m/>
    <n v="557.6865165165168"/>
    <x v="0"/>
    <n v="1.9139139139139139"/>
    <n v="557.6865165165168"/>
  </r>
  <r>
    <x v="211"/>
    <d v="2022-08-11T00:00:00"/>
    <x v="7"/>
    <x v="0"/>
    <x v="1"/>
    <x v="1"/>
    <x v="0"/>
    <x v="18"/>
    <x v="0"/>
    <x v="0"/>
    <x v="2"/>
    <n v="2"/>
    <n v="2"/>
    <n v="3"/>
    <n v="5"/>
    <n v="942.09"/>
    <x v="19"/>
    <m/>
    <n v="557.6865165165168"/>
    <x v="0"/>
    <n v="1.9139139139139139"/>
    <n v="557.6865165165168"/>
  </r>
  <r>
    <x v="212"/>
    <d v="2023-01-26T00:00:00"/>
    <x v="1"/>
    <x v="1"/>
    <x v="2"/>
    <x v="1"/>
    <x v="0"/>
    <x v="8"/>
    <x v="0"/>
    <x v="0"/>
    <x v="2"/>
    <n v="3"/>
    <n v="4"/>
    <n v="5"/>
    <n v="4"/>
    <n v="381.94"/>
    <x v="48"/>
    <m/>
    <n v="557.6865165165168"/>
    <x v="0"/>
    <n v="1.9139139139139139"/>
    <n v="557.6865165165168"/>
  </r>
  <r>
    <x v="213"/>
    <d v="2019-01-14T00:00:00"/>
    <x v="8"/>
    <x v="0"/>
    <x v="2"/>
    <x v="1"/>
    <x v="0"/>
    <x v="3"/>
    <x v="0"/>
    <x v="0"/>
    <x v="0"/>
    <n v="3"/>
    <n v="2"/>
    <n v="4"/>
    <n v="1"/>
    <n v="358.73"/>
    <x v="39"/>
    <m/>
    <n v="557.6865165165168"/>
    <x v="0"/>
    <n v="1.9139139139139139"/>
    <n v="557.6865165165168"/>
  </r>
  <r>
    <x v="214"/>
    <d v="2022-06-11T00:00:00"/>
    <x v="3"/>
    <x v="1"/>
    <x v="1"/>
    <x v="2"/>
    <x v="0"/>
    <x v="16"/>
    <x v="0"/>
    <x v="0"/>
    <x v="0"/>
    <n v="3"/>
    <n v="3"/>
    <n v="1"/>
    <n v="3"/>
    <n v="578.02"/>
    <x v="53"/>
    <m/>
    <n v="557.6865165165168"/>
    <x v="0"/>
    <n v="1.9139139139139139"/>
    <n v="557.6865165165168"/>
  </r>
  <r>
    <x v="215"/>
    <d v="2020-06-25T00:00:00"/>
    <x v="4"/>
    <x v="1"/>
    <x v="2"/>
    <x v="0"/>
    <x v="0"/>
    <x v="6"/>
    <x v="0"/>
    <x v="0"/>
    <x v="0"/>
    <n v="4"/>
    <n v="4"/>
    <n v="3"/>
    <n v="2"/>
    <n v="223.29"/>
    <x v="46"/>
    <m/>
    <n v="557.6865165165168"/>
    <x v="0"/>
    <n v="1.9139139139139139"/>
    <n v="557.6865165165168"/>
  </r>
  <r>
    <x v="216"/>
    <d v="2020-06-08T00:00:00"/>
    <x v="0"/>
    <x v="0"/>
    <x v="1"/>
    <x v="0"/>
    <x v="0"/>
    <x v="6"/>
    <x v="0"/>
    <x v="0"/>
    <x v="0"/>
    <n v="5"/>
    <n v="3"/>
    <n v="2"/>
    <n v="5"/>
    <n v="992.37"/>
    <x v="12"/>
    <m/>
    <n v="557.6865165165168"/>
    <x v="0"/>
    <n v="1.9139139139139139"/>
    <n v="557.6865165165168"/>
  </r>
  <r>
    <x v="217"/>
    <d v="2018-08-29T00:00:00"/>
    <x v="4"/>
    <x v="0"/>
    <x v="0"/>
    <x v="2"/>
    <x v="0"/>
    <x v="17"/>
    <x v="0"/>
    <x v="1"/>
    <x v="0"/>
    <n v="3"/>
    <n v="4"/>
    <n v="1"/>
    <n v="5"/>
    <n v="113.48"/>
    <x v="17"/>
    <m/>
    <n v="557.6865165165168"/>
    <x v="0"/>
    <n v="1.9139139139139139"/>
    <n v="557.6865165165168"/>
  </r>
  <r>
    <x v="218"/>
    <d v="2022-10-01T00:00:00"/>
    <x v="0"/>
    <x v="0"/>
    <x v="1"/>
    <x v="1"/>
    <x v="0"/>
    <x v="4"/>
    <x v="0"/>
    <x v="1"/>
    <x v="0"/>
    <n v="3"/>
    <n v="5"/>
    <n v="5"/>
    <n v="4"/>
    <n v="882.2"/>
    <x v="47"/>
    <m/>
    <n v="557.6865165165168"/>
    <x v="0"/>
    <n v="1.9139139139139139"/>
    <n v="557.6865165165168"/>
  </r>
  <r>
    <x v="219"/>
    <d v="2021-07-22T00:00:00"/>
    <x v="7"/>
    <x v="0"/>
    <x v="1"/>
    <x v="1"/>
    <x v="0"/>
    <x v="5"/>
    <x v="0"/>
    <x v="1"/>
    <x v="0"/>
    <n v="3"/>
    <n v="4"/>
    <n v="4"/>
    <n v="2"/>
    <n v="288.16000000000003"/>
    <x v="23"/>
    <m/>
    <n v="557.6865165165168"/>
    <x v="0"/>
    <n v="1.9139139139139139"/>
    <n v="557.6865165165168"/>
  </r>
  <r>
    <x v="220"/>
    <d v="2019-12-14T00:00:00"/>
    <x v="1"/>
    <x v="0"/>
    <x v="1"/>
    <x v="1"/>
    <x v="0"/>
    <x v="6"/>
    <x v="0"/>
    <x v="1"/>
    <x v="0"/>
    <n v="4"/>
    <n v="2"/>
    <n v="5"/>
    <n v="1"/>
    <n v="815.52"/>
    <x v="13"/>
    <m/>
    <n v="557.6865165165168"/>
    <x v="0"/>
    <n v="1.9139139139139139"/>
    <n v="557.6865165165168"/>
  </r>
  <r>
    <x v="221"/>
    <d v="2020-03-27T00:00:00"/>
    <x v="8"/>
    <x v="0"/>
    <x v="2"/>
    <x v="2"/>
    <x v="0"/>
    <x v="20"/>
    <x v="0"/>
    <x v="0"/>
    <x v="0"/>
    <n v="3"/>
    <n v="2"/>
    <n v="3"/>
    <n v="4"/>
    <n v="461.06"/>
    <x v="41"/>
    <m/>
    <n v="557.6865165165168"/>
    <x v="0"/>
    <n v="1.9139139139139139"/>
    <n v="557.6865165165168"/>
  </r>
  <r>
    <x v="222"/>
    <d v="2021-11-25T00:00:00"/>
    <x v="3"/>
    <x v="0"/>
    <x v="2"/>
    <x v="2"/>
    <x v="0"/>
    <x v="6"/>
    <x v="0"/>
    <x v="0"/>
    <x v="0"/>
    <n v="5"/>
    <n v="2"/>
    <n v="5"/>
    <n v="2"/>
    <n v="580.16"/>
    <x v="54"/>
    <m/>
    <n v="557.6865165165168"/>
    <x v="0"/>
    <n v="1.9139139139139139"/>
    <n v="557.6865165165168"/>
  </r>
  <r>
    <x v="223"/>
    <d v="2023-07-08T00:00:00"/>
    <x v="9"/>
    <x v="0"/>
    <x v="1"/>
    <x v="0"/>
    <x v="0"/>
    <x v="4"/>
    <x v="0"/>
    <x v="0"/>
    <x v="0"/>
    <n v="3"/>
    <n v="3"/>
    <n v="3"/>
    <n v="3"/>
    <n v="336.69"/>
    <x v="5"/>
    <m/>
    <n v="557.6865165165168"/>
    <x v="0"/>
    <n v="1.9139139139139139"/>
    <n v="557.6865165165168"/>
  </r>
  <r>
    <x v="224"/>
    <d v="2021-11-02T00:00:00"/>
    <x v="5"/>
    <x v="0"/>
    <x v="2"/>
    <x v="0"/>
    <x v="0"/>
    <x v="0"/>
    <x v="0"/>
    <x v="1"/>
    <x v="0"/>
    <n v="2"/>
    <n v="1"/>
    <n v="5"/>
    <n v="1"/>
    <n v="990.69"/>
    <x v="60"/>
    <m/>
    <n v="557.6865165165168"/>
    <x v="0"/>
    <n v="1.9139139139139139"/>
    <n v="557.6865165165168"/>
  </r>
  <r>
    <x v="225"/>
    <d v="2019-12-01T00:00:00"/>
    <x v="6"/>
    <x v="0"/>
    <x v="0"/>
    <x v="0"/>
    <x v="0"/>
    <x v="4"/>
    <x v="0"/>
    <x v="1"/>
    <x v="0"/>
    <n v="5"/>
    <n v="5"/>
    <n v="3"/>
    <n v="2"/>
    <n v="939.39"/>
    <x v="60"/>
    <m/>
    <n v="557.6865165165168"/>
    <x v="0"/>
    <n v="1.9139139139139139"/>
    <n v="557.6865165165168"/>
  </r>
  <r>
    <x v="226"/>
    <d v="2022-08-16T00:00:00"/>
    <x v="2"/>
    <x v="0"/>
    <x v="1"/>
    <x v="0"/>
    <x v="0"/>
    <x v="9"/>
    <x v="0"/>
    <x v="1"/>
    <x v="0"/>
    <n v="4"/>
    <n v="3"/>
    <n v="4"/>
    <n v="1"/>
    <n v="941.12"/>
    <x v="16"/>
    <m/>
    <n v="557.6865165165168"/>
    <x v="0"/>
    <n v="1.9139139139139139"/>
    <n v="557.6865165165168"/>
  </r>
  <r>
    <x v="227"/>
    <d v="2019-05-17T00:00:00"/>
    <x v="0"/>
    <x v="0"/>
    <x v="2"/>
    <x v="2"/>
    <x v="0"/>
    <x v="4"/>
    <x v="0"/>
    <x v="0"/>
    <x v="1"/>
    <n v="2"/>
    <n v="4"/>
    <n v="5"/>
    <n v="3"/>
    <n v="614.53"/>
    <x v="20"/>
    <m/>
    <n v="557.6865165165168"/>
    <x v="0"/>
    <n v="1.9139139139139139"/>
    <n v="557.6865165165168"/>
  </r>
  <r>
    <x v="228"/>
    <d v="2021-07-16T00:00:00"/>
    <x v="1"/>
    <x v="0"/>
    <x v="0"/>
    <x v="1"/>
    <x v="0"/>
    <x v="4"/>
    <x v="0"/>
    <x v="1"/>
    <x v="1"/>
    <n v="4"/>
    <n v="4"/>
    <n v="3"/>
    <n v="1"/>
    <n v="734.94"/>
    <x v="34"/>
    <m/>
    <n v="557.6865165165168"/>
    <x v="0"/>
    <n v="1.9139139139139139"/>
    <n v="557.6865165165168"/>
  </r>
  <r>
    <x v="229"/>
    <d v="2020-08-04T00:00:00"/>
    <x v="8"/>
    <x v="0"/>
    <x v="2"/>
    <x v="1"/>
    <x v="0"/>
    <x v="17"/>
    <x v="0"/>
    <x v="1"/>
    <x v="2"/>
    <n v="4"/>
    <n v="3"/>
    <n v="5"/>
    <n v="5"/>
    <n v="589.5"/>
    <x v="10"/>
    <m/>
    <n v="557.6865165165168"/>
    <x v="0"/>
    <n v="1.9139139139139139"/>
    <n v="557.6865165165168"/>
  </r>
  <r>
    <x v="230"/>
    <d v="2020-11-23T00:00:00"/>
    <x v="3"/>
    <x v="0"/>
    <x v="2"/>
    <x v="0"/>
    <x v="0"/>
    <x v="0"/>
    <x v="0"/>
    <x v="1"/>
    <x v="2"/>
    <n v="1"/>
    <n v="1"/>
    <n v="5"/>
    <n v="3"/>
    <n v="311.27999999999997"/>
    <x v="2"/>
    <m/>
    <n v="557.6865165165168"/>
    <x v="0"/>
    <n v="1.9139139139139139"/>
    <n v="557.6865165165168"/>
  </r>
  <r>
    <x v="231"/>
    <d v="2019-11-11T00:00:00"/>
    <x v="9"/>
    <x v="0"/>
    <x v="1"/>
    <x v="2"/>
    <x v="0"/>
    <x v="1"/>
    <x v="0"/>
    <x v="1"/>
    <x v="2"/>
    <n v="4"/>
    <n v="5"/>
    <n v="3"/>
    <n v="5"/>
    <n v="671.88"/>
    <x v="21"/>
    <m/>
    <n v="557.6865165165168"/>
    <x v="0"/>
    <n v="1.9139139139139139"/>
    <n v="557.6865165165168"/>
  </r>
  <r>
    <x v="232"/>
    <d v="2019-05-20T00:00:00"/>
    <x v="7"/>
    <x v="0"/>
    <x v="2"/>
    <x v="2"/>
    <x v="0"/>
    <x v="9"/>
    <x v="0"/>
    <x v="0"/>
    <x v="1"/>
    <n v="3"/>
    <n v="1"/>
    <n v="1"/>
    <n v="1"/>
    <n v="861.5"/>
    <x v="58"/>
    <m/>
    <n v="557.6865165165168"/>
    <x v="0"/>
    <n v="1.9139139139139139"/>
    <n v="557.6865165165168"/>
  </r>
  <r>
    <x v="233"/>
    <d v="2019-11-05T00:00:00"/>
    <x v="1"/>
    <x v="1"/>
    <x v="1"/>
    <x v="1"/>
    <x v="0"/>
    <x v="4"/>
    <x v="0"/>
    <x v="0"/>
    <x v="3"/>
    <n v="3"/>
    <n v="3"/>
    <n v="5"/>
    <n v="2"/>
    <n v="649.17999999999995"/>
    <x v="1"/>
    <m/>
    <n v="557.6865165165168"/>
    <x v="0"/>
    <n v="1.9139139139139139"/>
    <n v="557.6865165165168"/>
  </r>
  <r>
    <x v="234"/>
    <d v="2018-09-20T00:00:00"/>
    <x v="8"/>
    <x v="1"/>
    <x v="0"/>
    <x v="0"/>
    <x v="0"/>
    <x v="14"/>
    <x v="0"/>
    <x v="0"/>
    <x v="3"/>
    <n v="1"/>
    <n v="1"/>
    <n v="4"/>
    <n v="4"/>
    <n v="492.2"/>
    <x v="38"/>
    <m/>
    <n v="557.6865165165168"/>
    <x v="0"/>
    <n v="1.9139139139139139"/>
    <n v="557.6865165165168"/>
  </r>
  <r>
    <x v="235"/>
    <d v="2020-09-02T00:00:00"/>
    <x v="3"/>
    <x v="1"/>
    <x v="0"/>
    <x v="2"/>
    <x v="0"/>
    <x v="15"/>
    <x v="0"/>
    <x v="0"/>
    <x v="3"/>
    <n v="2"/>
    <n v="1"/>
    <n v="2"/>
    <n v="2"/>
    <n v="299.58999999999997"/>
    <x v="44"/>
    <m/>
    <n v="557.6865165165168"/>
    <x v="0"/>
    <n v="1.9139139139139139"/>
    <n v="557.6865165165168"/>
  </r>
  <r>
    <x v="236"/>
    <d v="2020-06-28T00:00:00"/>
    <x v="9"/>
    <x v="0"/>
    <x v="1"/>
    <x v="1"/>
    <x v="0"/>
    <x v="4"/>
    <x v="0"/>
    <x v="0"/>
    <x v="3"/>
    <n v="3"/>
    <n v="4"/>
    <n v="1"/>
    <n v="2"/>
    <n v="982.33"/>
    <x v="39"/>
    <m/>
    <n v="557.6865165165168"/>
    <x v="0"/>
    <n v="1.9139139139139139"/>
    <n v="557.6865165165168"/>
  </r>
  <r>
    <x v="237"/>
    <d v="2023-03-22T00:00:00"/>
    <x v="5"/>
    <x v="0"/>
    <x v="1"/>
    <x v="1"/>
    <x v="0"/>
    <x v="14"/>
    <x v="0"/>
    <x v="0"/>
    <x v="3"/>
    <n v="2"/>
    <n v="5"/>
    <n v="4"/>
    <n v="2"/>
    <n v="830.36"/>
    <x v="52"/>
    <m/>
    <n v="557.6865165165168"/>
    <x v="0"/>
    <n v="1.9139139139139139"/>
    <n v="557.6865165165168"/>
  </r>
  <r>
    <x v="238"/>
    <d v="2022-08-30T00:00:00"/>
    <x v="9"/>
    <x v="1"/>
    <x v="2"/>
    <x v="2"/>
    <x v="0"/>
    <x v="6"/>
    <x v="0"/>
    <x v="1"/>
    <x v="3"/>
    <n v="2"/>
    <n v="4"/>
    <n v="3"/>
    <n v="1"/>
    <n v="973.34"/>
    <x v="54"/>
    <m/>
    <n v="557.6865165165168"/>
    <x v="0"/>
    <n v="1.9139139139139139"/>
    <n v="557.6865165165168"/>
  </r>
  <r>
    <x v="239"/>
    <d v="2019-10-24T00:00:00"/>
    <x v="2"/>
    <x v="0"/>
    <x v="2"/>
    <x v="1"/>
    <x v="0"/>
    <x v="13"/>
    <x v="0"/>
    <x v="1"/>
    <x v="3"/>
    <n v="4"/>
    <n v="1"/>
    <n v="1"/>
    <n v="4"/>
    <n v="667.34"/>
    <x v="44"/>
    <m/>
    <n v="557.6865165165168"/>
    <x v="0"/>
    <n v="1.9139139139139139"/>
    <n v="557.6865165165168"/>
  </r>
  <r>
    <x v="240"/>
    <d v="2019-11-09T00:00:00"/>
    <x v="6"/>
    <x v="0"/>
    <x v="2"/>
    <x v="2"/>
    <x v="0"/>
    <x v="12"/>
    <x v="0"/>
    <x v="1"/>
    <x v="3"/>
    <n v="4"/>
    <n v="1"/>
    <n v="4"/>
    <n v="4"/>
    <n v="480.17"/>
    <x v="4"/>
    <m/>
    <n v="557.6865165165168"/>
    <x v="0"/>
    <n v="1.9139139139139139"/>
    <n v="557.6865165165168"/>
  </r>
  <r>
    <x v="241"/>
    <d v="2019-07-13T00:00:00"/>
    <x v="8"/>
    <x v="0"/>
    <x v="2"/>
    <x v="0"/>
    <x v="0"/>
    <x v="1"/>
    <x v="0"/>
    <x v="1"/>
    <x v="1"/>
    <n v="2"/>
    <n v="4"/>
    <n v="1"/>
    <n v="3"/>
    <n v="346.28"/>
    <x v="28"/>
    <m/>
    <n v="557.6865165165168"/>
    <x v="0"/>
    <n v="1.9139139139139139"/>
    <n v="557.6865165165168"/>
  </r>
  <r>
    <x v="242"/>
    <d v="2020-08-31T00:00:00"/>
    <x v="1"/>
    <x v="0"/>
    <x v="2"/>
    <x v="1"/>
    <x v="0"/>
    <x v="6"/>
    <x v="0"/>
    <x v="0"/>
    <x v="1"/>
    <n v="5"/>
    <n v="5"/>
    <n v="5"/>
    <n v="3"/>
    <n v="121.45"/>
    <x v="26"/>
    <m/>
    <n v="557.6865165165168"/>
    <x v="0"/>
    <n v="1.9139139139139139"/>
    <n v="557.6865165165168"/>
  </r>
  <r>
    <x v="243"/>
    <d v="2019-01-25T00:00:00"/>
    <x v="0"/>
    <x v="0"/>
    <x v="1"/>
    <x v="0"/>
    <x v="0"/>
    <x v="4"/>
    <x v="0"/>
    <x v="0"/>
    <x v="1"/>
    <n v="2"/>
    <n v="4"/>
    <n v="5"/>
    <n v="2"/>
    <n v="669.3"/>
    <x v="28"/>
    <m/>
    <n v="557.6865165165168"/>
    <x v="0"/>
    <n v="1.9139139139139139"/>
    <n v="557.6865165165168"/>
  </r>
  <r>
    <x v="244"/>
    <d v="2020-11-21T00:00:00"/>
    <x v="4"/>
    <x v="0"/>
    <x v="1"/>
    <x v="1"/>
    <x v="0"/>
    <x v="2"/>
    <x v="0"/>
    <x v="0"/>
    <x v="1"/>
    <n v="3"/>
    <n v="1"/>
    <n v="4"/>
    <n v="5"/>
    <n v="983.59"/>
    <x v="19"/>
    <m/>
    <n v="557.6865165165168"/>
    <x v="0"/>
    <n v="1.9139139139139139"/>
    <n v="557.6865165165168"/>
  </r>
  <r>
    <x v="245"/>
    <d v="2019-09-23T00:00:00"/>
    <x v="5"/>
    <x v="0"/>
    <x v="1"/>
    <x v="2"/>
    <x v="0"/>
    <x v="4"/>
    <x v="0"/>
    <x v="1"/>
    <x v="1"/>
    <n v="2"/>
    <n v="1"/>
    <n v="4"/>
    <n v="1"/>
    <n v="304.89999999999998"/>
    <x v="54"/>
    <m/>
    <n v="557.6865165165168"/>
    <x v="0"/>
    <n v="1.9139139139139139"/>
    <n v="557.6865165165168"/>
  </r>
  <r>
    <x v="246"/>
    <d v="2022-12-11T00:00:00"/>
    <x v="3"/>
    <x v="0"/>
    <x v="0"/>
    <x v="2"/>
    <x v="0"/>
    <x v="6"/>
    <x v="0"/>
    <x v="1"/>
    <x v="1"/>
    <n v="3"/>
    <n v="2"/>
    <n v="4"/>
    <n v="3"/>
    <n v="778.72"/>
    <x v="2"/>
    <m/>
    <n v="557.6865165165168"/>
    <x v="0"/>
    <n v="1.9139139139139139"/>
    <n v="557.6865165165168"/>
  </r>
  <r>
    <x v="247"/>
    <d v="2020-08-21T00:00:00"/>
    <x v="7"/>
    <x v="0"/>
    <x v="1"/>
    <x v="0"/>
    <x v="0"/>
    <x v="10"/>
    <x v="0"/>
    <x v="1"/>
    <x v="1"/>
    <n v="5"/>
    <n v="5"/>
    <n v="2"/>
    <n v="4"/>
    <n v="136.15"/>
    <x v="51"/>
    <m/>
    <n v="557.6865165165168"/>
    <x v="0"/>
    <n v="1.9139139139139139"/>
    <n v="557.6865165165168"/>
  </r>
  <r>
    <x v="248"/>
    <d v="2019-02-04T00:00:00"/>
    <x v="9"/>
    <x v="0"/>
    <x v="1"/>
    <x v="0"/>
    <x v="0"/>
    <x v="8"/>
    <x v="0"/>
    <x v="1"/>
    <x v="1"/>
    <n v="3"/>
    <n v="5"/>
    <n v="3"/>
    <n v="4"/>
    <n v="339.84"/>
    <x v="0"/>
    <m/>
    <n v="557.6865165165168"/>
    <x v="0"/>
    <n v="1.9139139139139139"/>
    <n v="557.6865165165168"/>
  </r>
  <r>
    <x v="249"/>
    <d v="2021-10-29T00:00:00"/>
    <x v="2"/>
    <x v="0"/>
    <x v="1"/>
    <x v="0"/>
    <x v="0"/>
    <x v="1"/>
    <x v="0"/>
    <x v="0"/>
    <x v="1"/>
    <n v="5"/>
    <n v="5"/>
    <n v="3"/>
    <n v="1"/>
    <n v="791.78"/>
    <x v="34"/>
    <m/>
    <n v="557.6865165165168"/>
    <x v="0"/>
    <n v="1.9139139139139139"/>
    <n v="557.6865165165168"/>
  </r>
  <r>
    <x v="250"/>
    <d v="2021-07-17T00:00:00"/>
    <x v="6"/>
    <x v="0"/>
    <x v="2"/>
    <x v="1"/>
    <x v="0"/>
    <x v="0"/>
    <x v="0"/>
    <x v="0"/>
    <x v="2"/>
    <n v="4"/>
    <n v="3"/>
    <n v="3"/>
    <n v="5"/>
    <n v="853.26"/>
    <x v="21"/>
    <m/>
    <n v="557.6865165165168"/>
    <x v="0"/>
    <n v="1.9139139139139139"/>
    <n v="557.6865165165168"/>
  </r>
  <r>
    <x v="251"/>
    <d v="2020-07-21T00:00:00"/>
    <x v="1"/>
    <x v="0"/>
    <x v="1"/>
    <x v="2"/>
    <x v="0"/>
    <x v="2"/>
    <x v="0"/>
    <x v="1"/>
    <x v="0"/>
    <n v="3"/>
    <n v="4"/>
    <n v="1"/>
    <n v="5"/>
    <n v="235.82"/>
    <x v="41"/>
    <m/>
    <n v="557.6865165165168"/>
    <x v="0"/>
    <n v="1.9139139139139139"/>
    <n v="557.6865165165168"/>
  </r>
  <r>
    <x v="252"/>
    <d v="2020-01-19T00:00:00"/>
    <x v="0"/>
    <x v="0"/>
    <x v="1"/>
    <x v="2"/>
    <x v="0"/>
    <x v="4"/>
    <x v="0"/>
    <x v="1"/>
    <x v="0"/>
    <n v="3"/>
    <n v="5"/>
    <n v="2"/>
    <n v="5"/>
    <n v="448.57"/>
    <x v="31"/>
    <m/>
    <n v="557.6865165165168"/>
    <x v="0"/>
    <n v="1.9139139139139139"/>
    <n v="557.6865165165168"/>
  </r>
  <r>
    <x v="253"/>
    <d v="2021-09-12T00:00:00"/>
    <x v="4"/>
    <x v="0"/>
    <x v="0"/>
    <x v="1"/>
    <x v="0"/>
    <x v="9"/>
    <x v="0"/>
    <x v="1"/>
    <x v="0"/>
    <n v="1"/>
    <n v="1"/>
    <n v="4"/>
    <n v="3"/>
    <n v="572.55999999999995"/>
    <x v="54"/>
    <m/>
    <n v="557.6865165165168"/>
    <x v="0"/>
    <n v="1.9139139139139139"/>
    <n v="557.6865165165168"/>
  </r>
  <r>
    <x v="254"/>
    <d v="2022-07-31T00:00:00"/>
    <x v="7"/>
    <x v="1"/>
    <x v="1"/>
    <x v="1"/>
    <x v="0"/>
    <x v="3"/>
    <x v="0"/>
    <x v="0"/>
    <x v="0"/>
    <n v="5"/>
    <n v="3"/>
    <n v="3"/>
    <n v="4"/>
    <n v="959.78"/>
    <x v="38"/>
    <m/>
    <n v="557.6865165165168"/>
    <x v="0"/>
    <n v="1.9139139139139139"/>
    <n v="557.6865165165168"/>
  </r>
  <r>
    <x v="255"/>
    <d v="2023-05-18T00:00:00"/>
    <x v="1"/>
    <x v="0"/>
    <x v="0"/>
    <x v="2"/>
    <x v="0"/>
    <x v="4"/>
    <x v="0"/>
    <x v="0"/>
    <x v="0"/>
    <n v="4"/>
    <n v="1"/>
    <n v="3"/>
    <n v="3"/>
    <n v="363.02"/>
    <x v="44"/>
    <m/>
    <n v="557.6865165165168"/>
    <x v="0"/>
    <n v="1.9139139139139139"/>
    <n v="557.6865165165168"/>
  </r>
  <r>
    <x v="256"/>
    <d v="2021-05-25T00:00:00"/>
    <x v="8"/>
    <x v="1"/>
    <x v="0"/>
    <x v="0"/>
    <x v="0"/>
    <x v="4"/>
    <x v="0"/>
    <x v="0"/>
    <x v="0"/>
    <n v="1"/>
    <n v="1"/>
    <n v="3"/>
    <n v="2"/>
    <n v="325.7"/>
    <x v="20"/>
    <m/>
    <n v="557.6865165165168"/>
    <x v="0"/>
    <n v="1.9139139139139139"/>
    <n v="557.6865165165168"/>
  </r>
  <r>
    <x v="257"/>
    <d v="2022-07-22T00:00:00"/>
    <x v="3"/>
    <x v="0"/>
    <x v="0"/>
    <x v="2"/>
    <x v="0"/>
    <x v="20"/>
    <x v="0"/>
    <x v="0"/>
    <x v="0"/>
    <n v="1"/>
    <n v="2"/>
    <n v="1"/>
    <n v="3"/>
    <n v="727.75"/>
    <x v="20"/>
    <m/>
    <n v="557.6865165165168"/>
    <x v="0"/>
    <n v="1.9139139139139139"/>
    <n v="557.6865165165168"/>
  </r>
  <r>
    <x v="258"/>
    <d v="2019-05-23T00:00:00"/>
    <x v="9"/>
    <x v="0"/>
    <x v="2"/>
    <x v="2"/>
    <x v="0"/>
    <x v="4"/>
    <x v="0"/>
    <x v="0"/>
    <x v="0"/>
    <n v="2"/>
    <n v="1"/>
    <n v="5"/>
    <n v="2"/>
    <n v="845.21"/>
    <x v="34"/>
    <m/>
    <n v="557.6865165165168"/>
    <x v="0"/>
    <n v="1.9139139139139139"/>
    <n v="557.6865165165168"/>
  </r>
  <r>
    <x v="259"/>
    <d v="2020-02-12T00:00:00"/>
    <x v="6"/>
    <x v="0"/>
    <x v="1"/>
    <x v="2"/>
    <x v="0"/>
    <x v="10"/>
    <x v="0"/>
    <x v="1"/>
    <x v="0"/>
    <n v="5"/>
    <n v="4"/>
    <n v="5"/>
    <n v="4"/>
    <n v="327.82"/>
    <x v="35"/>
    <m/>
    <n v="557.6865165165168"/>
    <x v="0"/>
    <n v="1.9139139139139139"/>
    <n v="557.6865165165168"/>
  </r>
  <r>
    <x v="260"/>
    <d v="2020-02-16T00:00:00"/>
    <x v="2"/>
    <x v="1"/>
    <x v="2"/>
    <x v="2"/>
    <x v="0"/>
    <x v="4"/>
    <x v="0"/>
    <x v="1"/>
    <x v="0"/>
    <n v="1"/>
    <n v="5"/>
    <n v="5"/>
    <n v="1"/>
    <n v="512.54999999999995"/>
    <x v="8"/>
    <m/>
    <n v="557.6865165165168"/>
    <x v="0"/>
    <n v="1.9139139139139139"/>
    <n v="557.6865165165168"/>
  </r>
  <r>
    <x v="261"/>
    <d v="2022-04-29T00:00:00"/>
    <x v="4"/>
    <x v="1"/>
    <x v="1"/>
    <x v="1"/>
    <x v="0"/>
    <x v="13"/>
    <x v="0"/>
    <x v="1"/>
    <x v="0"/>
    <n v="2"/>
    <n v="1"/>
    <n v="4"/>
    <n v="1"/>
    <n v="457.17"/>
    <x v="0"/>
    <m/>
    <n v="557.6865165165168"/>
    <x v="0"/>
    <n v="1.9139139139139139"/>
    <n v="557.6865165165168"/>
  </r>
  <r>
    <x v="262"/>
    <d v="2019-10-10T00:00:00"/>
    <x v="0"/>
    <x v="1"/>
    <x v="2"/>
    <x v="0"/>
    <x v="0"/>
    <x v="4"/>
    <x v="0"/>
    <x v="1"/>
    <x v="0"/>
    <n v="1"/>
    <n v="2"/>
    <n v="5"/>
    <n v="4"/>
    <n v="573.33000000000004"/>
    <x v="0"/>
    <m/>
    <n v="557.6865165165168"/>
    <x v="0"/>
    <n v="1.9139139139139139"/>
    <n v="557.6865165165168"/>
  </r>
  <r>
    <x v="263"/>
    <d v="2019-04-07T00:00:00"/>
    <x v="7"/>
    <x v="0"/>
    <x v="0"/>
    <x v="2"/>
    <x v="0"/>
    <x v="1"/>
    <x v="0"/>
    <x v="1"/>
    <x v="0"/>
    <n v="4"/>
    <n v="3"/>
    <n v="3"/>
    <n v="3"/>
    <n v="135.18"/>
    <x v="32"/>
    <m/>
    <n v="557.6865165165168"/>
    <x v="0"/>
    <n v="1.9139139139139139"/>
    <n v="557.6865165165168"/>
  </r>
  <r>
    <x v="264"/>
    <d v="2020-07-13T00:00:00"/>
    <x v="1"/>
    <x v="0"/>
    <x v="0"/>
    <x v="1"/>
    <x v="0"/>
    <x v="3"/>
    <x v="0"/>
    <x v="0"/>
    <x v="0"/>
    <n v="1"/>
    <n v="4"/>
    <n v="1"/>
    <n v="3"/>
    <n v="911.12"/>
    <x v="17"/>
    <m/>
    <n v="557.6865165165168"/>
    <x v="0"/>
    <n v="1.9139139139139139"/>
    <n v="557.6865165165168"/>
  </r>
  <r>
    <x v="265"/>
    <d v="2021-08-26T00:00:00"/>
    <x v="8"/>
    <x v="0"/>
    <x v="2"/>
    <x v="0"/>
    <x v="0"/>
    <x v="4"/>
    <x v="0"/>
    <x v="0"/>
    <x v="0"/>
    <n v="1"/>
    <n v="2"/>
    <n v="5"/>
    <n v="5"/>
    <n v="693.8"/>
    <x v="25"/>
    <m/>
    <n v="557.6865165165168"/>
    <x v="0"/>
    <n v="1.9139139139139139"/>
    <n v="557.6865165165168"/>
  </r>
  <r>
    <x v="266"/>
    <d v="2021-12-23T00:00:00"/>
    <x v="3"/>
    <x v="0"/>
    <x v="0"/>
    <x v="1"/>
    <x v="0"/>
    <x v="8"/>
    <x v="0"/>
    <x v="1"/>
    <x v="0"/>
    <n v="5"/>
    <n v="1"/>
    <n v="2"/>
    <n v="5"/>
    <n v="419.79"/>
    <x v="57"/>
    <m/>
    <n v="557.6865165165168"/>
    <x v="0"/>
    <n v="1.9139139139139139"/>
    <n v="557.6865165165168"/>
  </r>
  <r>
    <x v="267"/>
    <d v="2022-12-08T00:00:00"/>
    <x v="4"/>
    <x v="0"/>
    <x v="0"/>
    <x v="2"/>
    <x v="0"/>
    <x v="13"/>
    <x v="0"/>
    <x v="1"/>
    <x v="0"/>
    <n v="4"/>
    <n v="5"/>
    <n v="3"/>
    <n v="1"/>
    <n v="693.56"/>
    <x v="45"/>
    <m/>
    <n v="557.6865165165168"/>
    <x v="0"/>
    <n v="1.9139139139139139"/>
    <n v="557.6865165165168"/>
  </r>
  <r>
    <x v="268"/>
    <d v="2022-01-18T00:00:00"/>
    <x v="0"/>
    <x v="0"/>
    <x v="0"/>
    <x v="2"/>
    <x v="0"/>
    <x v="10"/>
    <x v="0"/>
    <x v="1"/>
    <x v="0"/>
    <n v="4"/>
    <n v="5"/>
    <n v="5"/>
    <n v="1"/>
    <n v="161.47"/>
    <x v="36"/>
    <m/>
    <n v="557.6865165165168"/>
    <x v="0"/>
    <n v="1.9139139139139139"/>
    <n v="557.6865165165168"/>
  </r>
  <r>
    <x v="269"/>
    <d v="2020-02-28T00:00:00"/>
    <x v="1"/>
    <x v="0"/>
    <x v="2"/>
    <x v="2"/>
    <x v="0"/>
    <x v="4"/>
    <x v="0"/>
    <x v="1"/>
    <x v="0"/>
    <n v="2"/>
    <n v="4"/>
    <n v="1"/>
    <n v="5"/>
    <n v="773.63"/>
    <x v="23"/>
    <m/>
    <n v="557.6865165165168"/>
    <x v="0"/>
    <n v="1.9139139139139139"/>
    <n v="557.6865165165168"/>
  </r>
  <r>
    <x v="270"/>
    <d v="2020-05-31T00:00:00"/>
    <x v="8"/>
    <x v="0"/>
    <x v="2"/>
    <x v="2"/>
    <x v="0"/>
    <x v="4"/>
    <x v="0"/>
    <x v="1"/>
    <x v="0"/>
    <n v="3"/>
    <n v="4"/>
    <n v="4"/>
    <n v="5"/>
    <n v="695.42"/>
    <x v="59"/>
    <m/>
    <n v="557.6865165165168"/>
    <x v="0"/>
    <n v="1.9139139139139139"/>
    <n v="557.6865165165168"/>
  </r>
  <r>
    <x v="271"/>
    <d v="2019-03-07T00:00:00"/>
    <x v="2"/>
    <x v="0"/>
    <x v="1"/>
    <x v="0"/>
    <x v="0"/>
    <x v="19"/>
    <x v="0"/>
    <x v="1"/>
    <x v="0"/>
    <n v="4"/>
    <n v="5"/>
    <n v="2"/>
    <n v="2"/>
    <n v="702.69"/>
    <x v="31"/>
    <m/>
    <n v="557.6865165165168"/>
    <x v="0"/>
    <n v="1.9139139139139139"/>
    <n v="557.6865165165168"/>
  </r>
  <r>
    <x v="272"/>
    <d v="2019-05-29T00:00:00"/>
    <x v="9"/>
    <x v="0"/>
    <x v="0"/>
    <x v="0"/>
    <x v="0"/>
    <x v="15"/>
    <x v="0"/>
    <x v="1"/>
    <x v="0"/>
    <n v="4"/>
    <n v="4"/>
    <n v="4"/>
    <n v="1"/>
    <n v="473.1"/>
    <x v="56"/>
    <m/>
    <n v="557.6865165165168"/>
    <x v="0"/>
    <n v="1.9139139139139139"/>
    <n v="557.6865165165168"/>
  </r>
  <r>
    <x v="273"/>
    <d v="2020-10-18T00:00:00"/>
    <x v="7"/>
    <x v="0"/>
    <x v="1"/>
    <x v="1"/>
    <x v="0"/>
    <x v="13"/>
    <x v="0"/>
    <x v="1"/>
    <x v="0"/>
    <n v="3"/>
    <n v="1"/>
    <n v="3"/>
    <n v="2"/>
    <n v="119.82"/>
    <x v="7"/>
    <m/>
    <n v="557.6865165165168"/>
    <x v="0"/>
    <n v="1.9139139139139139"/>
    <n v="557.6865165165168"/>
  </r>
  <r>
    <x v="274"/>
    <d v="2018-11-19T00:00:00"/>
    <x v="3"/>
    <x v="0"/>
    <x v="2"/>
    <x v="2"/>
    <x v="0"/>
    <x v="16"/>
    <x v="0"/>
    <x v="1"/>
    <x v="0"/>
    <n v="2"/>
    <n v="5"/>
    <n v="1"/>
    <n v="1"/>
    <n v="157.80000000000001"/>
    <x v="61"/>
    <m/>
    <n v="557.6865165165168"/>
    <x v="0"/>
    <n v="1.9139139139139139"/>
    <n v="557.6865165165168"/>
  </r>
  <r>
    <x v="275"/>
    <d v="2022-04-15T00:00:00"/>
    <x v="7"/>
    <x v="1"/>
    <x v="1"/>
    <x v="1"/>
    <x v="0"/>
    <x v="3"/>
    <x v="0"/>
    <x v="0"/>
    <x v="0"/>
    <n v="3"/>
    <n v="3"/>
    <n v="5"/>
    <n v="3"/>
    <n v="791.98"/>
    <x v="23"/>
    <m/>
    <n v="557.6865165165168"/>
    <x v="0"/>
    <n v="1.9139139139139139"/>
    <n v="557.6865165165168"/>
  </r>
  <r>
    <x v="276"/>
    <d v="2018-08-24T00:00:00"/>
    <x v="1"/>
    <x v="1"/>
    <x v="1"/>
    <x v="2"/>
    <x v="0"/>
    <x v="4"/>
    <x v="0"/>
    <x v="0"/>
    <x v="0"/>
    <n v="1"/>
    <n v="3"/>
    <n v="4"/>
    <n v="5"/>
    <n v="752.97"/>
    <x v="14"/>
    <m/>
    <n v="557.6865165165168"/>
    <x v="0"/>
    <n v="1.9139139139139139"/>
    <n v="557.6865165165168"/>
  </r>
  <r>
    <x v="277"/>
    <d v="2022-10-15T00:00:00"/>
    <x v="8"/>
    <x v="1"/>
    <x v="1"/>
    <x v="0"/>
    <x v="0"/>
    <x v="16"/>
    <x v="0"/>
    <x v="0"/>
    <x v="0"/>
    <n v="2"/>
    <n v="2"/>
    <n v="4"/>
    <n v="5"/>
    <n v="916.21"/>
    <x v="30"/>
    <m/>
    <n v="557.6865165165168"/>
    <x v="0"/>
    <n v="1.9139139139139139"/>
    <n v="557.6865165165168"/>
  </r>
  <r>
    <x v="278"/>
    <d v="2023-02-27T00:00:00"/>
    <x v="3"/>
    <x v="1"/>
    <x v="1"/>
    <x v="1"/>
    <x v="0"/>
    <x v="4"/>
    <x v="0"/>
    <x v="0"/>
    <x v="0"/>
    <n v="2"/>
    <n v="5"/>
    <n v="4"/>
    <n v="2"/>
    <n v="751.04"/>
    <x v="20"/>
    <m/>
    <n v="557.6865165165168"/>
    <x v="0"/>
    <n v="1.9139139139139139"/>
    <n v="557.6865165165168"/>
  </r>
  <r>
    <x v="279"/>
    <d v="2021-09-22T00:00:00"/>
    <x v="9"/>
    <x v="0"/>
    <x v="0"/>
    <x v="1"/>
    <x v="0"/>
    <x v="4"/>
    <x v="0"/>
    <x v="0"/>
    <x v="0"/>
    <n v="2"/>
    <n v="1"/>
    <n v="1"/>
    <n v="3"/>
    <n v="620.63"/>
    <x v="21"/>
    <m/>
    <n v="557.6865165165168"/>
    <x v="0"/>
    <n v="1.9139139139139139"/>
    <n v="557.6865165165168"/>
  </r>
  <r>
    <x v="280"/>
    <d v="2020-05-30T00:00:00"/>
    <x v="5"/>
    <x v="0"/>
    <x v="0"/>
    <x v="1"/>
    <x v="0"/>
    <x v="3"/>
    <x v="0"/>
    <x v="1"/>
    <x v="0"/>
    <n v="2"/>
    <n v="1"/>
    <n v="3"/>
    <n v="3"/>
    <n v="439.3"/>
    <x v="10"/>
    <m/>
    <n v="557.6865165165168"/>
    <x v="0"/>
    <n v="1.9139139139139139"/>
    <n v="557.6865165165168"/>
  </r>
  <r>
    <x v="281"/>
    <d v="2020-09-11T00:00:00"/>
    <x v="6"/>
    <x v="0"/>
    <x v="2"/>
    <x v="2"/>
    <x v="0"/>
    <x v="1"/>
    <x v="0"/>
    <x v="0"/>
    <x v="0"/>
    <n v="4"/>
    <n v="3"/>
    <n v="2"/>
    <n v="1"/>
    <n v="716.39"/>
    <x v="56"/>
    <m/>
    <n v="557.6865165165168"/>
    <x v="0"/>
    <n v="1.9139139139139139"/>
    <n v="557.6865165165168"/>
  </r>
  <r>
    <x v="282"/>
    <d v="2019-05-31T00:00:00"/>
    <x v="2"/>
    <x v="1"/>
    <x v="1"/>
    <x v="0"/>
    <x v="0"/>
    <x v="3"/>
    <x v="0"/>
    <x v="1"/>
    <x v="0"/>
    <n v="5"/>
    <n v="4"/>
    <n v="4"/>
    <n v="5"/>
    <n v="300.33"/>
    <x v="11"/>
    <m/>
    <n v="557.6865165165168"/>
    <x v="0"/>
    <n v="1.9139139139139139"/>
    <n v="557.6865165165168"/>
  </r>
  <r>
    <x v="283"/>
    <d v="2020-07-13T00:00:00"/>
    <x v="4"/>
    <x v="0"/>
    <x v="2"/>
    <x v="2"/>
    <x v="0"/>
    <x v="12"/>
    <x v="0"/>
    <x v="1"/>
    <x v="0"/>
    <n v="2"/>
    <n v="1"/>
    <n v="5"/>
    <n v="3"/>
    <n v="337.15"/>
    <x v="62"/>
    <m/>
    <n v="557.6865165165168"/>
    <x v="0"/>
    <n v="1.9139139139139139"/>
    <n v="557.6865165165168"/>
  </r>
  <r>
    <x v="284"/>
    <d v="2021-09-09T00:00:00"/>
    <x v="0"/>
    <x v="1"/>
    <x v="2"/>
    <x v="0"/>
    <x v="0"/>
    <x v="19"/>
    <x v="0"/>
    <x v="1"/>
    <x v="0"/>
    <n v="2"/>
    <n v="5"/>
    <n v="5"/>
    <n v="5"/>
    <n v="725.6"/>
    <x v="24"/>
    <m/>
    <n v="557.6865165165168"/>
    <x v="0"/>
    <n v="1.9139139139139139"/>
    <n v="557.6865165165168"/>
  </r>
  <r>
    <x v="285"/>
    <d v="2019-04-06T00:00:00"/>
    <x v="7"/>
    <x v="0"/>
    <x v="1"/>
    <x v="0"/>
    <x v="0"/>
    <x v="3"/>
    <x v="0"/>
    <x v="1"/>
    <x v="0"/>
    <n v="4"/>
    <n v="1"/>
    <n v="3"/>
    <n v="5"/>
    <n v="588.88"/>
    <x v="0"/>
    <m/>
    <n v="557.6865165165168"/>
    <x v="0"/>
    <n v="1.9139139139139139"/>
    <n v="557.6865165165168"/>
  </r>
  <r>
    <x v="286"/>
    <d v="2021-02-16T00:00:00"/>
    <x v="1"/>
    <x v="0"/>
    <x v="1"/>
    <x v="1"/>
    <x v="0"/>
    <x v="11"/>
    <x v="0"/>
    <x v="0"/>
    <x v="0"/>
    <n v="1"/>
    <n v="3"/>
    <n v="3"/>
    <n v="4"/>
    <n v="742.98"/>
    <x v="16"/>
    <m/>
    <n v="557.6865165165168"/>
    <x v="0"/>
    <n v="1.9139139139139139"/>
    <n v="557.6865165165168"/>
  </r>
  <r>
    <x v="287"/>
    <d v="2020-02-17T00:00:00"/>
    <x v="8"/>
    <x v="0"/>
    <x v="1"/>
    <x v="0"/>
    <x v="0"/>
    <x v="6"/>
    <x v="0"/>
    <x v="1"/>
    <x v="0"/>
    <n v="4"/>
    <n v="1"/>
    <n v="5"/>
    <n v="5"/>
    <n v="283.05"/>
    <x v="60"/>
    <m/>
    <n v="557.6865165165168"/>
    <x v="0"/>
    <n v="1.9139139139139139"/>
    <n v="557.6865165165168"/>
  </r>
  <r>
    <x v="288"/>
    <d v="2021-10-15T00:00:00"/>
    <x v="3"/>
    <x v="0"/>
    <x v="0"/>
    <x v="1"/>
    <x v="0"/>
    <x v="1"/>
    <x v="0"/>
    <x v="1"/>
    <x v="0"/>
    <n v="1"/>
    <n v="1"/>
    <n v="4"/>
    <n v="4"/>
    <n v="511.13"/>
    <x v="53"/>
    <m/>
    <n v="557.6865165165168"/>
    <x v="0"/>
    <n v="1.9139139139139139"/>
    <n v="557.6865165165168"/>
  </r>
  <r>
    <x v="289"/>
    <d v="2022-07-06T00:00:00"/>
    <x v="9"/>
    <x v="0"/>
    <x v="1"/>
    <x v="1"/>
    <x v="0"/>
    <x v="6"/>
    <x v="0"/>
    <x v="1"/>
    <x v="0"/>
    <n v="3"/>
    <n v="1"/>
    <n v="5"/>
    <n v="1"/>
    <n v="158.86000000000001"/>
    <x v="12"/>
    <m/>
    <n v="557.6865165165168"/>
    <x v="0"/>
    <n v="1.9139139139139139"/>
    <n v="557.6865165165168"/>
  </r>
  <r>
    <x v="290"/>
    <d v="2019-03-05T00:00:00"/>
    <x v="5"/>
    <x v="0"/>
    <x v="2"/>
    <x v="2"/>
    <x v="0"/>
    <x v="11"/>
    <x v="0"/>
    <x v="1"/>
    <x v="0"/>
    <n v="1"/>
    <n v="3"/>
    <n v="2"/>
    <n v="1"/>
    <n v="741.95"/>
    <x v="35"/>
    <m/>
    <n v="557.6865165165168"/>
    <x v="0"/>
    <n v="1.9139139139139139"/>
    <n v="557.6865165165168"/>
  </r>
  <r>
    <x v="291"/>
    <d v="2020-06-02T00:00:00"/>
    <x v="6"/>
    <x v="0"/>
    <x v="1"/>
    <x v="0"/>
    <x v="0"/>
    <x v="9"/>
    <x v="0"/>
    <x v="1"/>
    <x v="0"/>
    <n v="3"/>
    <n v="3"/>
    <n v="5"/>
    <n v="4"/>
    <n v="132.52000000000001"/>
    <x v="58"/>
    <m/>
    <n v="557.6865165165168"/>
    <x v="0"/>
    <n v="1.9139139139139139"/>
    <n v="557.6865165165168"/>
  </r>
  <r>
    <x v="292"/>
    <d v="2021-05-24T00:00:00"/>
    <x v="4"/>
    <x v="0"/>
    <x v="1"/>
    <x v="1"/>
    <x v="0"/>
    <x v="4"/>
    <x v="0"/>
    <x v="0"/>
    <x v="0"/>
    <n v="1"/>
    <n v="5"/>
    <n v="3"/>
    <n v="4"/>
    <n v="521.51"/>
    <x v="24"/>
    <m/>
    <n v="557.6865165165168"/>
    <x v="0"/>
    <n v="1.9139139139139139"/>
    <n v="557.6865165165168"/>
  </r>
  <r>
    <x v="293"/>
    <d v="2022-11-16T00:00:00"/>
    <x v="7"/>
    <x v="1"/>
    <x v="0"/>
    <x v="1"/>
    <x v="0"/>
    <x v="6"/>
    <x v="0"/>
    <x v="1"/>
    <x v="0"/>
    <n v="2"/>
    <n v="1"/>
    <n v="1"/>
    <n v="4"/>
    <n v="917.17"/>
    <x v="25"/>
    <m/>
    <n v="557.6865165165168"/>
    <x v="0"/>
    <n v="1.9139139139139139"/>
    <n v="557.6865165165168"/>
  </r>
  <r>
    <x v="294"/>
    <d v="2022-05-01T00:00:00"/>
    <x v="1"/>
    <x v="0"/>
    <x v="0"/>
    <x v="2"/>
    <x v="0"/>
    <x v="17"/>
    <x v="0"/>
    <x v="1"/>
    <x v="0"/>
    <n v="3"/>
    <n v="4"/>
    <n v="1"/>
    <n v="2"/>
    <n v="790.71"/>
    <x v="32"/>
    <m/>
    <n v="557.6865165165168"/>
    <x v="0"/>
    <n v="1.9139139139139139"/>
    <n v="557.6865165165168"/>
  </r>
  <r>
    <x v="295"/>
    <d v="2021-08-24T00:00:00"/>
    <x v="8"/>
    <x v="0"/>
    <x v="1"/>
    <x v="1"/>
    <x v="0"/>
    <x v="3"/>
    <x v="0"/>
    <x v="1"/>
    <x v="0"/>
    <n v="4"/>
    <n v="3"/>
    <n v="1"/>
    <n v="1"/>
    <n v="680.48"/>
    <x v="34"/>
    <m/>
    <n v="557.6865165165168"/>
    <x v="0"/>
    <n v="1.9139139139139139"/>
    <n v="557.6865165165168"/>
  </r>
  <r>
    <x v="296"/>
    <d v="2023-06-22T00:00:00"/>
    <x v="0"/>
    <x v="0"/>
    <x v="0"/>
    <x v="1"/>
    <x v="0"/>
    <x v="2"/>
    <x v="0"/>
    <x v="0"/>
    <x v="0"/>
    <n v="2"/>
    <n v="4"/>
    <n v="1"/>
    <n v="1"/>
    <n v="947.57"/>
    <x v="16"/>
    <m/>
    <n v="557.6865165165168"/>
    <x v="0"/>
    <n v="1.9139139139139139"/>
    <n v="557.6865165165168"/>
  </r>
  <r>
    <x v="297"/>
    <d v="2020-07-18T00:00:00"/>
    <x v="7"/>
    <x v="0"/>
    <x v="2"/>
    <x v="2"/>
    <x v="0"/>
    <x v="6"/>
    <x v="0"/>
    <x v="0"/>
    <x v="0"/>
    <n v="2"/>
    <n v="1"/>
    <n v="1"/>
    <n v="2"/>
    <n v="594.61"/>
    <x v="4"/>
    <m/>
    <n v="557.6865165165168"/>
    <x v="0"/>
    <n v="1.9139139139139139"/>
    <n v="557.6865165165168"/>
  </r>
  <r>
    <x v="298"/>
    <d v="2023-01-12T00:00:00"/>
    <x v="1"/>
    <x v="1"/>
    <x v="1"/>
    <x v="2"/>
    <x v="0"/>
    <x v="0"/>
    <x v="0"/>
    <x v="0"/>
    <x v="0"/>
    <n v="3"/>
    <n v="2"/>
    <n v="5"/>
    <n v="1"/>
    <n v="775.59"/>
    <x v="8"/>
    <m/>
    <n v="557.6865165165168"/>
    <x v="0"/>
    <n v="1.9139139139139139"/>
    <n v="557.6865165165168"/>
  </r>
  <r>
    <x v="299"/>
    <d v="2022-02-16T00:00:00"/>
    <x v="8"/>
    <x v="0"/>
    <x v="1"/>
    <x v="2"/>
    <x v="0"/>
    <x v="2"/>
    <x v="0"/>
    <x v="0"/>
    <x v="0"/>
    <n v="2"/>
    <n v="1"/>
    <n v="5"/>
    <n v="2"/>
    <n v="239.16"/>
    <x v="2"/>
    <m/>
    <n v="557.6865165165168"/>
    <x v="0"/>
    <n v="1.9139139139139139"/>
    <n v="557.6865165165168"/>
  </r>
  <r>
    <x v="300"/>
    <d v="2022-09-02T00:00:00"/>
    <x v="3"/>
    <x v="0"/>
    <x v="2"/>
    <x v="1"/>
    <x v="0"/>
    <x v="17"/>
    <x v="0"/>
    <x v="0"/>
    <x v="0"/>
    <n v="1"/>
    <n v="1"/>
    <n v="2"/>
    <n v="5"/>
    <n v="275.94"/>
    <x v="19"/>
    <m/>
    <n v="557.6865165165168"/>
    <x v="0"/>
    <n v="1.9139139139139139"/>
    <n v="557.6865165165168"/>
  </r>
  <r>
    <x v="301"/>
    <d v="2019-02-02T00:00:00"/>
    <x v="9"/>
    <x v="0"/>
    <x v="2"/>
    <x v="1"/>
    <x v="0"/>
    <x v="17"/>
    <x v="0"/>
    <x v="0"/>
    <x v="0"/>
    <n v="4"/>
    <n v="4"/>
    <n v="5"/>
    <n v="4"/>
    <n v="466.32"/>
    <x v="25"/>
    <m/>
    <n v="557.6865165165168"/>
    <x v="0"/>
    <n v="1.9139139139139139"/>
    <n v="557.6865165165168"/>
  </r>
  <r>
    <x v="302"/>
    <d v="2021-08-26T00:00:00"/>
    <x v="3"/>
    <x v="1"/>
    <x v="1"/>
    <x v="2"/>
    <x v="0"/>
    <x v="3"/>
    <x v="0"/>
    <x v="0"/>
    <x v="0"/>
    <n v="2"/>
    <n v="5"/>
    <n v="3"/>
    <n v="4"/>
    <n v="840.46"/>
    <x v="39"/>
    <m/>
    <n v="557.6865165165168"/>
    <x v="0"/>
    <n v="1.9139139139139139"/>
    <n v="557.6865165165168"/>
  </r>
  <r>
    <x v="303"/>
    <d v="2020-12-31T00:00:00"/>
    <x v="7"/>
    <x v="0"/>
    <x v="0"/>
    <x v="2"/>
    <x v="0"/>
    <x v="14"/>
    <x v="0"/>
    <x v="0"/>
    <x v="0"/>
    <n v="2"/>
    <n v="4"/>
    <n v="1"/>
    <n v="3"/>
    <n v="145.76"/>
    <x v="38"/>
    <m/>
    <n v="557.6865165165168"/>
    <x v="0"/>
    <n v="1.9139139139139139"/>
    <n v="557.6865165165168"/>
  </r>
  <r>
    <x v="304"/>
    <d v="2020-12-12T00:00:00"/>
    <x v="9"/>
    <x v="0"/>
    <x v="1"/>
    <x v="1"/>
    <x v="0"/>
    <x v="10"/>
    <x v="0"/>
    <x v="1"/>
    <x v="0"/>
    <n v="3"/>
    <n v="5"/>
    <n v="3"/>
    <n v="2"/>
    <n v="647.70000000000005"/>
    <x v="12"/>
    <m/>
    <n v="557.6865165165168"/>
    <x v="0"/>
    <n v="1.9139139139139139"/>
    <n v="557.6865165165168"/>
  </r>
  <r>
    <x v="305"/>
    <d v="2022-01-13T00:00:00"/>
    <x v="2"/>
    <x v="1"/>
    <x v="0"/>
    <x v="2"/>
    <x v="0"/>
    <x v="1"/>
    <x v="0"/>
    <x v="1"/>
    <x v="0"/>
    <n v="1"/>
    <n v="3"/>
    <n v="3"/>
    <n v="2"/>
    <n v="536.20000000000005"/>
    <x v="2"/>
    <m/>
    <n v="557.6865165165168"/>
    <x v="0"/>
    <n v="1.9139139139139139"/>
    <n v="557.6865165165168"/>
  </r>
  <r>
    <x v="306"/>
    <d v="2021-01-24T00:00:00"/>
    <x v="6"/>
    <x v="1"/>
    <x v="2"/>
    <x v="2"/>
    <x v="0"/>
    <x v="3"/>
    <x v="0"/>
    <x v="1"/>
    <x v="0"/>
    <n v="2"/>
    <n v="2"/>
    <n v="4"/>
    <n v="5"/>
    <n v="769.97"/>
    <x v="21"/>
    <m/>
    <n v="557.6865165165168"/>
    <x v="0"/>
    <n v="1.9139139139139139"/>
    <n v="557.6865165165168"/>
  </r>
  <r>
    <x v="307"/>
    <d v="2022-02-08T00:00:00"/>
    <x v="8"/>
    <x v="0"/>
    <x v="1"/>
    <x v="1"/>
    <x v="0"/>
    <x v="6"/>
    <x v="0"/>
    <x v="0"/>
    <x v="0"/>
    <n v="2"/>
    <n v="5"/>
    <n v="1"/>
    <n v="1"/>
    <n v="894.66"/>
    <x v="56"/>
    <m/>
    <n v="557.6865165165168"/>
    <x v="0"/>
    <n v="1.9139139139139139"/>
    <n v="557.6865165165168"/>
  </r>
  <r>
    <x v="308"/>
    <d v="2020-10-11T00:00:00"/>
    <x v="1"/>
    <x v="1"/>
    <x v="2"/>
    <x v="1"/>
    <x v="0"/>
    <x v="6"/>
    <x v="0"/>
    <x v="0"/>
    <x v="0"/>
    <n v="1"/>
    <n v="5"/>
    <n v="2"/>
    <n v="2"/>
    <n v="374.02"/>
    <x v="40"/>
    <m/>
    <n v="557.6865165165168"/>
    <x v="0"/>
    <n v="1.9139139139139139"/>
    <n v="557.6865165165168"/>
  </r>
  <r>
    <x v="309"/>
    <d v="2019-06-20T00:00:00"/>
    <x v="0"/>
    <x v="0"/>
    <x v="2"/>
    <x v="2"/>
    <x v="0"/>
    <x v="6"/>
    <x v="0"/>
    <x v="1"/>
    <x v="0"/>
    <n v="5"/>
    <n v="3"/>
    <n v="1"/>
    <n v="5"/>
    <n v="569.41999999999996"/>
    <x v="30"/>
    <m/>
    <n v="557.6865165165168"/>
    <x v="0"/>
    <n v="1.9139139139139139"/>
    <n v="557.6865165165168"/>
  </r>
  <r>
    <x v="310"/>
    <d v="2021-07-13T00:00:00"/>
    <x v="4"/>
    <x v="0"/>
    <x v="0"/>
    <x v="2"/>
    <x v="0"/>
    <x v="4"/>
    <x v="0"/>
    <x v="1"/>
    <x v="0"/>
    <n v="2"/>
    <n v="1"/>
    <n v="3"/>
    <n v="1"/>
    <n v="172.82"/>
    <x v="11"/>
    <m/>
    <n v="557.6865165165168"/>
    <x v="0"/>
    <n v="1.9139139139139139"/>
    <n v="557.6865165165168"/>
  </r>
  <r>
    <x v="311"/>
    <d v="2021-10-14T00:00:00"/>
    <x v="5"/>
    <x v="0"/>
    <x v="0"/>
    <x v="1"/>
    <x v="0"/>
    <x v="5"/>
    <x v="0"/>
    <x v="1"/>
    <x v="0"/>
    <n v="4"/>
    <n v="1"/>
    <n v="5"/>
    <n v="4"/>
    <n v="585.84"/>
    <x v="11"/>
    <m/>
    <n v="557.6865165165168"/>
    <x v="0"/>
    <n v="1.9139139139139139"/>
    <n v="557.6865165165168"/>
  </r>
  <r>
    <x v="312"/>
    <d v="2021-11-09T00:00:00"/>
    <x v="3"/>
    <x v="0"/>
    <x v="0"/>
    <x v="0"/>
    <x v="0"/>
    <x v="1"/>
    <x v="0"/>
    <x v="1"/>
    <x v="0"/>
    <n v="4"/>
    <n v="3"/>
    <n v="2"/>
    <n v="1"/>
    <n v="759.38"/>
    <x v="31"/>
    <m/>
    <n v="557.6865165165168"/>
    <x v="0"/>
    <n v="1.9139139139139139"/>
    <n v="557.6865165165168"/>
  </r>
  <r>
    <x v="313"/>
    <d v="2023-04-02T00:00:00"/>
    <x v="7"/>
    <x v="0"/>
    <x v="1"/>
    <x v="1"/>
    <x v="0"/>
    <x v="13"/>
    <x v="0"/>
    <x v="1"/>
    <x v="0"/>
    <n v="1"/>
    <n v="5"/>
    <n v="3"/>
    <n v="5"/>
    <n v="341.74"/>
    <x v="44"/>
    <m/>
    <n v="557.6865165165168"/>
    <x v="0"/>
    <n v="1.9139139139139139"/>
    <n v="557.6865165165168"/>
  </r>
  <r>
    <x v="314"/>
    <d v="2019-03-09T00:00:00"/>
    <x v="8"/>
    <x v="1"/>
    <x v="1"/>
    <x v="2"/>
    <x v="0"/>
    <x v="4"/>
    <x v="0"/>
    <x v="1"/>
    <x v="0"/>
    <n v="1"/>
    <n v="5"/>
    <n v="1"/>
    <n v="5"/>
    <n v="506.4"/>
    <x v="41"/>
    <m/>
    <n v="557.6865165165168"/>
    <x v="0"/>
    <n v="1.9139139139139139"/>
    <n v="557.6865165165168"/>
  </r>
  <r>
    <x v="315"/>
    <d v="2020-05-09T00:00:00"/>
    <x v="1"/>
    <x v="0"/>
    <x v="0"/>
    <x v="1"/>
    <x v="0"/>
    <x v="10"/>
    <x v="0"/>
    <x v="1"/>
    <x v="0"/>
    <n v="3"/>
    <n v="4"/>
    <n v="3"/>
    <n v="5"/>
    <n v="851.24"/>
    <x v="1"/>
    <m/>
    <n v="557.6865165165168"/>
    <x v="0"/>
    <n v="1.9139139139139139"/>
    <n v="557.6865165165168"/>
  </r>
  <r>
    <x v="316"/>
    <d v="2022-08-14T00:00:00"/>
    <x v="0"/>
    <x v="0"/>
    <x v="0"/>
    <x v="1"/>
    <x v="0"/>
    <x v="8"/>
    <x v="0"/>
    <x v="0"/>
    <x v="0"/>
    <n v="3"/>
    <n v="3"/>
    <n v="2"/>
    <n v="2"/>
    <n v="671.12"/>
    <x v="46"/>
    <m/>
    <n v="557.6865165165168"/>
    <x v="0"/>
    <n v="1.9139139139139139"/>
    <n v="557.6865165165168"/>
  </r>
  <r>
    <x v="317"/>
    <d v="2022-01-18T00:00:00"/>
    <x v="2"/>
    <x v="0"/>
    <x v="0"/>
    <x v="0"/>
    <x v="0"/>
    <x v="9"/>
    <x v="0"/>
    <x v="0"/>
    <x v="0"/>
    <n v="3"/>
    <n v="2"/>
    <n v="2"/>
    <n v="1"/>
    <n v="257.8"/>
    <x v="54"/>
    <m/>
    <n v="557.6865165165168"/>
    <x v="0"/>
    <n v="1.9139139139139139"/>
    <n v="557.6865165165168"/>
  </r>
  <r>
    <x v="318"/>
    <d v="2021-06-22T00:00:00"/>
    <x v="9"/>
    <x v="1"/>
    <x v="1"/>
    <x v="1"/>
    <x v="0"/>
    <x v="4"/>
    <x v="0"/>
    <x v="0"/>
    <x v="0"/>
    <n v="3"/>
    <n v="4"/>
    <n v="2"/>
    <n v="4"/>
    <n v="280.06"/>
    <x v="9"/>
    <m/>
    <n v="557.6865165165168"/>
    <x v="0"/>
    <n v="1.9139139139139139"/>
    <n v="557.6865165165168"/>
  </r>
  <r>
    <x v="319"/>
    <d v="2023-01-19T00:00:00"/>
    <x v="7"/>
    <x v="1"/>
    <x v="1"/>
    <x v="0"/>
    <x v="0"/>
    <x v="2"/>
    <x v="0"/>
    <x v="0"/>
    <x v="0"/>
    <n v="1"/>
    <n v="2"/>
    <n v="1"/>
    <n v="4"/>
    <n v="140.03"/>
    <x v="62"/>
    <m/>
    <n v="557.6865165165168"/>
    <x v="0"/>
    <n v="1.9139139139139139"/>
    <n v="557.6865165165168"/>
  </r>
  <r>
    <x v="320"/>
    <d v="2023-05-17T00:00:00"/>
    <x v="3"/>
    <x v="1"/>
    <x v="2"/>
    <x v="1"/>
    <x v="0"/>
    <x v="4"/>
    <x v="0"/>
    <x v="0"/>
    <x v="0"/>
    <n v="3"/>
    <n v="4"/>
    <n v="2"/>
    <n v="2"/>
    <n v="796.95"/>
    <x v="42"/>
    <m/>
    <n v="557.6865165165168"/>
    <x v="0"/>
    <n v="1.9139139139139139"/>
    <n v="557.6865165165168"/>
  </r>
  <r>
    <x v="321"/>
    <d v="2020-06-07T00:00:00"/>
    <x v="5"/>
    <x v="0"/>
    <x v="0"/>
    <x v="1"/>
    <x v="0"/>
    <x v="13"/>
    <x v="0"/>
    <x v="0"/>
    <x v="0"/>
    <n v="3"/>
    <n v="1"/>
    <n v="4"/>
    <n v="1"/>
    <n v="997.38"/>
    <x v="28"/>
    <m/>
    <n v="557.6865165165168"/>
    <x v="0"/>
    <n v="1.9139139139139139"/>
    <n v="557.6865165165168"/>
  </r>
  <r>
    <x v="322"/>
    <d v="2023-07-07T00:00:00"/>
    <x v="9"/>
    <x v="0"/>
    <x v="1"/>
    <x v="1"/>
    <x v="0"/>
    <x v="17"/>
    <x v="0"/>
    <x v="0"/>
    <x v="0"/>
    <n v="3"/>
    <n v="2"/>
    <n v="1"/>
    <n v="2"/>
    <n v="676.95"/>
    <x v="34"/>
    <m/>
    <n v="557.6865165165168"/>
    <x v="0"/>
    <n v="1.9139139139139139"/>
    <n v="557.6865165165168"/>
  </r>
  <r>
    <x v="323"/>
    <d v="2020-03-28T00:00:00"/>
    <x v="5"/>
    <x v="0"/>
    <x v="1"/>
    <x v="2"/>
    <x v="0"/>
    <x v="0"/>
    <x v="0"/>
    <x v="0"/>
    <x v="0"/>
    <n v="4"/>
    <n v="1"/>
    <n v="1"/>
    <n v="2"/>
    <n v="348.89"/>
    <x v="58"/>
    <m/>
    <n v="557.6865165165168"/>
    <x v="0"/>
    <n v="1.9139139139139139"/>
    <n v="557.6865165165168"/>
  </r>
  <r>
    <x v="324"/>
    <d v="2019-05-23T00:00:00"/>
    <x v="6"/>
    <x v="0"/>
    <x v="2"/>
    <x v="0"/>
    <x v="0"/>
    <x v="6"/>
    <x v="0"/>
    <x v="1"/>
    <x v="0"/>
    <n v="2"/>
    <n v="2"/>
    <n v="2"/>
    <n v="1"/>
    <n v="385.62"/>
    <x v="30"/>
    <m/>
    <n v="557.6865165165168"/>
    <x v="0"/>
    <n v="1.9139139139139139"/>
    <n v="557.6865165165168"/>
  </r>
  <r>
    <x v="325"/>
    <d v="2019-04-20T00:00:00"/>
    <x v="2"/>
    <x v="0"/>
    <x v="1"/>
    <x v="2"/>
    <x v="0"/>
    <x v="3"/>
    <x v="0"/>
    <x v="1"/>
    <x v="0"/>
    <n v="2"/>
    <n v="3"/>
    <n v="3"/>
    <n v="2"/>
    <n v="552.66999999999996"/>
    <x v="14"/>
    <m/>
    <n v="557.6865165165168"/>
    <x v="0"/>
    <n v="1.9139139139139139"/>
    <n v="557.6865165165168"/>
  </r>
  <r>
    <x v="326"/>
    <d v="2018-09-09T00:00:00"/>
    <x v="4"/>
    <x v="0"/>
    <x v="0"/>
    <x v="1"/>
    <x v="0"/>
    <x v="3"/>
    <x v="0"/>
    <x v="1"/>
    <x v="0"/>
    <n v="1"/>
    <n v="1"/>
    <n v="3"/>
    <n v="2"/>
    <n v="645.11"/>
    <x v="23"/>
    <m/>
    <n v="557.6865165165168"/>
    <x v="0"/>
    <n v="1.9139139139139139"/>
    <n v="557.6865165165168"/>
  </r>
  <r>
    <x v="327"/>
    <d v="2022-07-14T00:00:00"/>
    <x v="0"/>
    <x v="0"/>
    <x v="2"/>
    <x v="1"/>
    <x v="0"/>
    <x v="2"/>
    <x v="0"/>
    <x v="1"/>
    <x v="1"/>
    <n v="4"/>
    <n v="3"/>
    <n v="2"/>
    <n v="1"/>
    <n v="954.02"/>
    <x v="29"/>
    <m/>
    <n v="557.6865165165168"/>
    <x v="0"/>
    <n v="1.9139139139139139"/>
    <n v="557.6865165165168"/>
  </r>
  <r>
    <x v="328"/>
    <d v="2019-04-17T00:00:00"/>
    <x v="7"/>
    <x v="0"/>
    <x v="0"/>
    <x v="1"/>
    <x v="0"/>
    <x v="3"/>
    <x v="0"/>
    <x v="0"/>
    <x v="1"/>
    <n v="1"/>
    <n v="5"/>
    <n v="2"/>
    <n v="5"/>
    <n v="255.74"/>
    <x v="31"/>
    <m/>
    <n v="557.6865165165168"/>
    <x v="0"/>
    <n v="1.9139139139139139"/>
    <n v="557.6865165165168"/>
  </r>
  <r>
    <x v="329"/>
    <d v="2020-05-15T00:00:00"/>
    <x v="1"/>
    <x v="0"/>
    <x v="0"/>
    <x v="1"/>
    <x v="0"/>
    <x v="14"/>
    <x v="0"/>
    <x v="0"/>
    <x v="0"/>
    <n v="3"/>
    <n v="4"/>
    <n v="2"/>
    <n v="2"/>
    <n v="279.38"/>
    <x v="54"/>
    <m/>
    <n v="557.6865165165168"/>
    <x v="0"/>
    <n v="1.9139139139139139"/>
    <n v="557.6865165165168"/>
  </r>
  <r>
    <x v="330"/>
    <d v="2020-04-04T00:00:00"/>
    <x v="8"/>
    <x v="0"/>
    <x v="1"/>
    <x v="0"/>
    <x v="0"/>
    <x v="3"/>
    <x v="0"/>
    <x v="1"/>
    <x v="0"/>
    <n v="1"/>
    <n v="1"/>
    <n v="1"/>
    <n v="5"/>
    <n v="303.44"/>
    <x v="9"/>
    <m/>
    <n v="557.6865165165168"/>
    <x v="0"/>
    <n v="1.9139139139139139"/>
    <n v="557.6865165165168"/>
  </r>
  <r>
    <x v="331"/>
    <d v="2022-10-15T00:00:00"/>
    <x v="3"/>
    <x v="0"/>
    <x v="1"/>
    <x v="1"/>
    <x v="0"/>
    <x v="7"/>
    <x v="0"/>
    <x v="1"/>
    <x v="1"/>
    <n v="3"/>
    <n v="1"/>
    <n v="3"/>
    <n v="4"/>
    <n v="809.38"/>
    <x v="1"/>
    <m/>
    <n v="557.6865165165168"/>
    <x v="0"/>
    <n v="1.9139139139139139"/>
    <n v="557.6865165165168"/>
  </r>
  <r>
    <x v="332"/>
    <d v="2019-07-11T00:00:00"/>
    <x v="9"/>
    <x v="0"/>
    <x v="0"/>
    <x v="0"/>
    <x v="0"/>
    <x v="2"/>
    <x v="0"/>
    <x v="1"/>
    <x v="0"/>
    <n v="5"/>
    <n v="3"/>
    <n v="5"/>
    <n v="4"/>
    <n v="886.12"/>
    <x v="26"/>
    <m/>
    <n v="557.6865165165168"/>
    <x v="0"/>
    <n v="1.9139139139139139"/>
    <n v="557.6865165165168"/>
  </r>
  <r>
    <x v="333"/>
    <d v="2019-10-02T00:00:00"/>
    <x v="5"/>
    <x v="0"/>
    <x v="0"/>
    <x v="0"/>
    <x v="0"/>
    <x v="4"/>
    <x v="0"/>
    <x v="0"/>
    <x v="0"/>
    <n v="2"/>
    <n v="1"/>
    <n v="4"/>
    <n v="2"/>
    <n v="125.88"/>
    <x v="4"/>
    <m/>
    <n v="557.6865165165168"/>
    <x v="0"/>
    <n v="1.9139139139139139"/>
    <n v="557.6865165165168"/>
  </r>
  <r>
    <x v="334"/>
    <d v="2021-03-04T00:00:00"/>
    <x v="6"/>
    <x v="0"/>
    <x v="1"/>
    <x v="1"/>
    <x v="0"/>
    <x v="4"/>
    <x v="0"/>
    <x v="1"/>
    <x v="0"/>
    <n v="3"/>
    <n v="3"/>
    <n v="5"/>
    <n v="1"/>
    <n v="493.72"/>
    <x v="50"/>
    <m/>
    <n v="557.6865165165168"/>
    <x v="0"/>
    <n v="1.9139139139139139"/>
    <n v="557.6865165165168"/>
  </r>
  <r>
    <x v="335"/>
    <d v="2019-05-15T00:00:00"/>
    <x v="4"/>
    <x v="0"/>
    <x v="1"/>
    <x v="0"/>
    <x v="0"/>
    <x v="3"/>
    <x v="0"/>
    <x v="0"/>
    <x v="0"/>
    <n v="3"/>
    <n v="2"/>
    <n v="2"/>
    <n v="4"/>
    <n v="414.55"/>
    <x v="11"/>
    <m/>
    <n v="557.6865165165168"/>
    <x v="0"/>
    <n v="1.9139139139139139"/>
    <n v="557.6865165165168"/>
  </r>
  <r>
    <x v="336"/>
    <d v="2022-04-28T00:00:00"/>
    <x v="0"/>
    <x v="0"/>
    <x v="1"/>
    <x v="2"/>
    <x v="0"/>
    <x v="3"/>
    <x v="0"/>
    <x v="1"/>
    <x v="0"/>
    <n v="2"/>
    <n v="5"/>
    <n v="2"/>
    <n v="1"/>
    <n v="391.88"/>
    <x v="21"/>
    <m/>
    <n v="557.6865165165168"/>
    <x v="0"/>
    <n v="1.9139139139139139"/>
    <n v="557.6865165165168"/>
  </r>
  <r>
    <x v="337"/>
    <d v="2021-09-23T00:00:00"/>
    <x v="7"/>
    <x v="0"/>
    <x v="0"/>
    <x v="0"/>
    <x v="0"/>
    <x v="4"/>
    <x v="0"/>
    <x v="1"/>
    <x v="0"/>
    <n v="4"/>
    <n v="1"/>
    <n v="5"/>
    <n v="4"/>
    <n v="600.64"/>
    <x v="42"/>
    <m/>
    <n v="557.6865165165168"/>
    <x v="0"/>
    <n v="1.9139139139139139"/>
    <n v="557.6865165165168"/>
  </r>
  <r>
    <x v="338"/>
    <d v="2021-09-15T00:00:00"/>
    <x v="1"/>
    <x v="0"/>
    <x v="0"/>
    <x v="0"/>
    <x v="0"/>
    <x v="9"/>
    <x v="0"/>
    <x v="1"/>
    <x v="0"/>
    <n v="4"/>
    <n v="5"/>
    <n v="4"/>
    <n v="1"/>
    <n v="997.74"/>
    <x v="36"/>
    <m/>
    <n v="557.6865165165168"/>
    <x v="0"/>
    <n v="1.9139139139139139"/>
    <n v="557.6865165165168"/>
  </r>
  <r>
    <x v="339"/>
    <d v="2019-04-27T00:00:00"/>
    <x v="9"/>
    <x v="0"/>
    <x v="0"/>
    <x v="2"/>
    <x v="2"/>
    <x v="2"/>
    <x v="0"/>
    <x v="0"/>
    <x v="0"/>
    <n v="5"/>
    <n v="4"/>
    <n v="4"/>
    <n v="4"/>
    <n v="254.26"/>
    <x v="4"/>
    <m/>
    <n v="557.6865165165168"/>
    <x v="0"/>
    <n v="1.9139139139139139"/>
    <n v="557.6865165165168"/>
  </r>
  <r>
    <x v="340"/>
    <d v="2019-10-06T00:00:00"/>
    <x v="3"/>
    <x v="0"/>
    <x v="2"/>
    <x v="2"/>
    <x v="2"/>
    <x v="4"/>
    <x v="0"/>
    <x v="1"/>
    <x v="0"/>
    <n v="3"/>
    <n v="1"/>
    <n v="5"/>
    <n v="3"/>
    <n v="786.62"/>
    <x v="43"/>
    <m/>
    <n v="557.6865165165168"/>
    <x v="0"/>
    <n v="1.9139139139139139"/>
    <n v="557.6865165165168"/>
  </r>
  <r>
    <x v="341"/>
    <d v="2020-02-16T00:00:00"/>
    <x v="2"/>
    <x v="0"/>
    <x v="1"/>
    <x v="1"/>
    <x v="2"/>
    <x v="2"/>
    <x v="3"/>
    <x v="0"/>
    <x v="0"/>
    <n v="3"/>
    <n v="3"/>
    <n v="1"/>
    <n v="3"/>
    <n v="189.7"/>
    <x v="34"/>
    <m/>
    <n v="557.6865165165168"/>
    <x v="0"/>
    <n v="1.9139139139139139"/>
    <n v="557.6865165165168"/>
  </r>
  <r>
    <x v="342"/>
    <d v="2022-05-14T00:00:00"/>
    <x v="2"/>
    <x v="0"/>
    <x v="2"/>
    <x v="2"/>
    <x v="2"/>
    <x v="10"/>
    <x v="3"/>
    <x v="1"/>
    <x v="0"/>
    <n v="1"/>
    <n v="1"/>
    <n v="1"/>
    <n v="2"/>
    <n v="484.02"/>
    <x v="32"/>
    <m/>
    <n v="557.6865165165168"/>
    <x v="0"/>
    <n v="1.9139139139139139"/>
    <n v="557.6865165165168"/>
  </r>
  <r>
    <x v="343"/>
    <d v="2019-02-13T00:00:00"/>
    <x v="4"/>
    <x v="0"/>
    <x v="0"/>
    <x v="2"/>
    <x v="2"/>
    <x v="5"/>
    <x v="0"/>
    <x v="0"/>
    <x v="0"/>
    <n v="3"/>
    <n v="3"/>
    <n v="1"/>
    <n v="5"/>
    <n v="299.74"/>
    <x v="48"/>
    <m/>
    <n v="557.6865165165168"/>
    <x v="0"/>
    <n v="1.9139139139139139"/>
    <n v="557.6865165165168"/>
  </r>
  <r>
    <x v="344"/>
    <d v="2022-08-24T00:00:00"/>
    <x v="7"/>
    <x v="0"/>
    <x v="2"/>
    <x v="1"/>
    <x v="2"/>
    <x v="6"/>
    <x v="0"/>
    <x v="1"/>
    <x v="0"/>
    <n v="2"/>
    <n v="3"/>
    <n v="4"/>
    <n v="1"/>
    <n v="169.79"/>
    <x v="14"/>
    <m/>
    <n v="557.6865165165168"/>
    <x v="0"/>
    <n v="1.9139139139139139"/>
    <n v="557.6865165165168"/>
  </r>
  <r>
    <x v="345"/>
    <d v="2021-03-26T00:00:00"/>
    <x v="7"/>
    <x v="0"/>
    <x v="0"/>
    <x v="0"/>
    <x v="2"/>
    <x v="9"/>
    <x v="0"/>
    <x v="1"/>
    <x v="0"/>
    <n v="1"/>
    <n v="5"/>
    <n v="3"/>
    <n v="1"/>
    <n v="910.09"/>
    <x v="49"/>
    <m/>
    <n v="557.6865165165168"/>
    <x v="0"/>
    <n v="1.9139139139139139"/>
    <n v="557.6865165165168"/>
  </r>
  <r>
    <x v="346"/>
    <d v="2021-05-01T00:00:00"/>
    <x v="5"/>
    <x v="0"/>
    <x v="1"/>
    <x v="1"/>
    <x v="2"/>
    <x v="4"/>
    <x v="0"/>
    <x v="1"/>
    <x v="0"/>
    <n v="1"/>
    <n v="1"/>
    <n v="5"/>
    <n v="5"/>
    <n v="912.1"/>
    <x v="60"/>
    <m/>
    <n v="557.6865165165168"/>
    <x v="0"/>
    <n v="1.9139139139139139"/>
    <n v="557.6865165165168"/>
  </r>
  <r>
    <x v="347"/>
    <d v="2021-10-10T00:00:00"/>
    <x v="0"/>
    <x v="0"/>
    <x v="2"/>
    <x v="1"/>
    <x v="2"/>
    <x v="3"/>
    <x v="0"/>
    <x v="0"/>
    <x v="2"/>
    <n v="3"/>
    <n v="3"/>
    <n v="1"/>
    <n v="4"/>
    <n v="456.65"/>
    <x v="28"/>
    <m/>
    <n v="557.6865165165168"/>
    <x v="0"/>
    <n v="1.9139139139139139"/>
    <n v="557.6865165165168"/>
  </r>
  <r>
    <x v="348"/>
    <d v="2020-01-02T00:00:00"/>
    <x v="0"/>
    <x v="0"/>
    <x v="2"/>
    <x v="1"/>
    <x v="2"/>
    <x v="15"/>
    <x v="0"/>
    <x v="1"/>
    <x v="0"/>
    <n v="1"/>
    <n v="1"/>
    <n v="3"/>
    <n v="4"/>
    <n v="313.5"/>
    <x v="10"/>
    <m/>
    <n v="557.6865165165168"/>
    <x v="0"/>
    <n v="1.9139139139139139"/>
    <n v="557.6865165165168"/>
  </r>
  <r>
    <x v="349"/>
    <d v="2020-01-20T00:00:00"/>
    <x v="8"/>
    <x v="0"/>
    <x v="1"/>
    <x v="2"/>
    <x v="2"/>
    <x v="1"/>
    <x v="0"/>
    <x v="0"/>
    <x v="0"/>
    <n v="4"/>
    <n v="1"/>
    <n v="1"/>
    <n v="3"/>
    <n v="906.45"/>
    <x v="6"/>
    <m/>
    <n v="557.6865165165168"/>
    <x v="0"/>
    <n v="1.9139139139139139"/>
    <n v="557.6865165165168"/>
  </r>
  <r>
    <x v="350"/>
    <d v="2018-08-11T00:00:00"/>
    <x v="1"/>
    <x v="0"/>
    <x v="0"/>
    <x v="0"/>
    <x v="2"/>
    <x v="3"/>
    <x v="0"/>
    <x v="0"/>
    <x v="0"/>
    <n v="1"/>
    <n v="3"/>
    <n v="4"/>
    <n v="2"/>
    <n v="333.8"/>
    <x v="58"/>
    <m/>
    <n v="557.6865165165168"/>
    <x v="0"/>
    <n v="1.9139139139139139"/>
    <n v="557.6865165165168"/>
  </r>
  <r>
    <x v="351"/>
    <d v="2021-12-18T00:00:00"/>
    <x v="3"/>
    <x v="0"/>
    <x v="0"/>
    <x v="1"/>
    <x v="2"/>
    <x v="4"/>
    <x v="0"/>
    <x v="1"/>
    <x v="0"/>
    <n v="5"/>
    <n v="4"/>
    <n v="4"/>
    <n v="2"/>
    <n v="866.63"/>
    <x v="21"/>
    <m/>
    <n v="557.6865165165168"/>
    <x v="0"/>
    <n v="1.9139139139139139"/>
    <n v="557.6865165165168"/>
  </r>
  <r>
    <x v="352"/>
    <d v="2019-09-24T00:00:00"/>
    <x v="5"/>
    <x v="0"/>
    <x v="1"/>
    <x v="2"/>
    <x v="3"/>
    <x v="3"/>
    <x v="0"/>
    <x v="1"/>
    <x v="0"/>
    <n v="4"/>
    <n v="4"/>
    <n v="5"/>
    <n v="5"/>
    <n v="357.58"/>
    <x v="7"/>
    <m/>
    <n v="557.6865165165168"/>
    <x v="0"/>
    <n v="1.9139139139139139"/>
    <n v="557.6865165165168"/>
  </r>
  <r>
    <x v="353"/>
    <d v="2022-10-17T00:00:00"/>
    <x v="3"/>
    <x v="0"/>
    <x v="1"/>
    <x v="1"/>
    <x v="3"/>
    <x v="12"/>
    <x v="0"/>
    <x v="1"/>
    <x v="2"/>
    <n v="5"/>
    <n v="4"/>
    <n v="1"/>
    <n v="4"/>
    <n v="516.9"/>
    <x v="41"/>
    <m/>
    <n v="557.6865165165168"/>
    <x v="0"/>
    <n v="1.9139139139139139"/>
    <n v="557.6865165165168"/>
  </r>
  <r>
    <x v="354"/>
    <d v="2020-01-07T00:00:00"/>
    <x v="7"/>
    <x v="0"/>
    <x v="0"/>
    <x v="0"/>
    <x v="2"/>
    <x v="2"/>
    <x v="0"/>
    <x v="1"/>
    <x v="0"/>
    <n v="4"/>
    <n v="4"/>
    <n v="5"/>
    <n v="5"/>
    <n v="200.23"/>
    <x v="61"/>
    <m/>
    <n v="557.6865165165168"/>
    <x v="0"/>
    <n v="1.9139139139139139"/>
    <n v="557.6865165165168"/>
  </r>
  <r>
    <x v="355"/>
    <d v="2022-11-05T00:00:00"/>
    <x v="9"/>
    <x v="0"/>
    <x v="1"/>
    <x v="1"/>
    <x v="2"/>
    <x v="4"/>
    <x v="0"/>
    <x v="1"/>
    <x v="0"/>
    <n v="4"/>
    <n v="4"/>
    <n v="2"/>
    <n v="1"/>
    <n v="728.77"/>
    <x v="46"/>
    <m/>
    <n v="557.6865165165168"/>
    <x v="0"/>
    <n v="1.9139139139139139"/>
    <n v="557.6865165165168"/>
  </r>
  <r>
    <x v="356"/>
    <d v="2023-04-26T00:00:00"/>
    <x v="2"/>
    <x v="0"/>
    <x v="2"/>
    <x v="2"/>
    <x v="2"/>
    <x v="4"/>
    <x v="0"/>
    <x v="1"/>
    <x v="0"/>
    <n v="2"/>
    <n v="1"/>
    <n v="3"/>
    <n v="4"/>
    <n v="286.12"/>
    <x v="23"/>
    <m/>
    <n v="557.6865165165168"/>
    <x v="0"/>
    <n v="1.9139139139139139"/>
    <n v="557.6865165165168"/>
  </r>
  <r>
    <x v="357"/>
    <d v="2019-05-29T00:00:00"/>
    <x v="6"/>
    <x v="0"/>
    <x v="2"/>
    <x v="2"/>
    <x v="2"/>
    <x v="5"/>
    <x v="0"/>
    <x v="1"/>
    <x v="0"/>
    <n v="3"/>
    <n v="3"/>
    <n v="4"/>
    <n v="5"/>
    <n v="997.15"/>
    <x v="2"/>
    <m/>
    <n v="557.6865165165168"/>
    <x v="0"/>
    <n v="1.9139139139139139"/>
    <n v="557.6865165165168"/>
  </r>
  <r>
    <x v="358"/>
    <d v="2019-09-12T00:00:00"/>
    <x v="2"/>
    <x v="0"/>
    <x v="2"/>
    <x v="1"/>
    <x v="2"/>
    <x v="1"/>
    <x v="0"/>
    <x v="1"/>
    <x v="0"/>
    <n v="2"/>
    <n v="5"/>
    <n v="1"/>
    <n v="2"/>
    <n v="984.63"/>
    <x v="38"/>
    <m/>
    <n v="557.6865165165168"/>
    <x v="0"/>
    <n v="1.9139139139139139"/>
    <n v="557.6865165165168"/>
  </r>
  <r>
    <x v="359"/>
    <d v="2019-01-27T00:00:00"/>
    <x v="4"/>
    <x v="0"/>
    <x v="2"/>
    <x v="0"/>
    <x v="2"/>
    <x v="9"/>
    <x v="0"/>
    <x v="1"/>
    <x v="1"/>
    <n v="3"/>
    <n v="2"/>
    <n v="1"/>
    <n v="5"/>
    <n v="233.67"/>
    <x v="6"/>
    <m/>
    <n v="557.6865165165168"/>
    <x v="0"/>
    <n v="1.9139139139139139"/>
    <n v="557.6865165165168"/>
  </r>
  <r>
    <x v="360"/>
    <d v="2019-08-20T00:00:00"/>
    <x v="0"/>
    <x v="0"/>
    <x v="2"/>
    <x v="0"/>
    <x v="2"/>
    <x v="4"/>
    <x v="3"/>
    <x v="1"/>
    <x v="3"/>
    <n v="1"/>
    <n v="1"/>
    <n v="3"/>
    <n v="3"/>
    <n v="142.41999999999999"/>
    <x v="61"/>
    <m/>
    <n v="557.6865165165168"/>
    <x v="0"/>
    <n v="1.9139139139139139"/>
    <n v="557.6865165165168"/>
  </r>
  <r>
    <x v="361"/>
    <d v="2018-09-14T00:00:00"/>
    <x v="7"/>
    <x v="0"/>
    <x v="2"/>
    <x v="0"/>
    <x v="2"/>
    <x v="4"/>
    <x v="3"/>
    <x v="0"/>
    <x v="2"/>
    <n v="3"/>
    <n v="2"/>
    <n v="5"/>
    <n v="2"/>
    <n v="784.73"/>
    <x v="12"/>
    <m/>
    <n v="557.6865165165168"/>
    <x v="0"/>
    <n v="1.9139139139139139"/>
    <n v="557.6865165165168"/>
  </r>
  <r>
    <x v="362"/>
    <d v="2022-01-26T00:00:00"/>
    <x v="9"/>
    <x v="0"/>
    <x v="1"/>
    <x v="1"/>
    <x v="3"/>
    <x v="4"/>
    <x v="0"/>
    <x v="1"/>
    <x v="3"/>
    <n v="3"/>
    <n v="5"/>
    <n v="2"/>
    <n v="2"/>
    <n v="409.16"/>
    <x v="26"/>
    <m/>
    <n v="557.6865165165168"/>
    <x v="0"/>
    <n v="1.9139139139139139"/>
    <n v="557.6865165165168"/>
  </r>
  <r>
    <x v="363"/>
    <d v="2019-05-10T00:00:00"/>
    <x v="5"/>
    <x v="0"/>
    <x v="0"/>
    <x v="0"/>
    <x v="3"/>
    <x v="4"/>
    <x v="0"/>
    <x v="1"/>
    <x v="0"/>
    <n v="3"/>
    <n v="5"/>
    <n v="5"/>
    <n v="1"/>
    <n v="700.53"/>
    <x v="1"/>
    <m/>
    <n v="557.6865165165168"/>
    <x v="0"/>
    <n v="1.9139139139139139"/>
    <n v="557.6865165165168"/>
  </r>
  <r>
    <x v="364"/>
    <d v="2019-01-02T00:00:00"/>
    <x v="6"/>
    <x v="0"/>
    <x v="2"/>
    <x v="2"/>
    <x v="2"/>
    <x v="17"/>
    <x v="0"/>
    <x v="1"/>
    <x v="0"/>
    <n v="5"/>
    <n v="3"/>
    <n v="1"/>
    <n v="3"/>
    <n v="439.63"/>
    <x v="18"/>
    <m/>
    <n v="557.6865165165168"/>
    <x v="0"/>
    <n v="1.9139139139139139"/>
    <n v="557.6865165165168"/>
  </r>
  <r>
    <x v="365"/>
    <d v="2021-08-13T00:00:00"/>
    <x v="2"/>
    <x v="0"/>
    <x v="0"/>
    <x v="1"/>
    <x v="2"/>
    <x v="3"/>
    <x v="0"/>
    <x v="1"/>
    <x v="0"/>
    <n v="2"/>
    <n v="3"/>
    <n v="5"/>
    <n v="3"/>
    <n v="830.78"/>
    <x v="20"/>
    <m/>
    <n v="557.6865165165168"/>
    <x v="0"/>
    <n v="1.9139139139139139"/>
    <n v="557.6865165165168"/>
  </r>
  <r>
    <x v="366"/>
    <d v="2022-10-02T00:00:00"/>
    <x v="4"/>
    <x v="0"/>
    <x v="2"/>
    <x v="1"/>
    <x v="2"/>
    <x v="0"/>
    <x v="0"/>
    <x v="1"/>
    <x v="3"/>
    <n v="5"/>
    <n v="3"/>
    <n v="1"/>
    <n v="3"/>
    <n v="320.33999999999997"/>
    <x v="59"/>
    <m/>
    <n v="557.6865165165168"/>
    <x v="0"/>
    <n v="1.9139139139139139"/>
    <n v="557.6865165165168"/>
  </r>
  <r>
    <x v="367"/>
    <d v="2018-12-17T00:00:00"/>
    <x v="0"/>
    <x v="0"/>
    <x v="2"/>
    <x v="1"/>
    <x v="2"/>
    <x v="4"/>
    <x v="0"/>
    <x v="0"/>
    <x v="3"/>
    <n v="1"/>
    <n v="1"/>
    <n v="2"/>
    <n v="2"/>
    <n v="510.23"/>
    <x v="52"/>
    <m/>
    <n v="557.6865165165168"/>
    <x v="0"/>
    <n v="1.9139139139139139"/>
    <n v="557.6865165165168"/>
  </r>
  <r>
    <x v="368"/>
    <d v="2021-10-11T00:00:00"/>
    <x v="2"/>
    <x v="0"/>
    <x v="0"/>
    <x v="2"/>
    <x v="2"/>
    <x v="3"/>
    <x v="0"/>
    <x v="1"/>
    <x v="3"/>
    <n v="3"/>
    <n v="3"/>
    <n v="4"/>
    <n v="4"/>
    <n v="403"/>
    <x v="30"/>
    <m/>
    <n v="557.6865165165168"/>
    <x v="0"/>
    <n v="1.9139139139139139"/>
    <n v="557.6865165165168"/>
  </r>
  <r>
    <x v="369"/>
    <d v="2023-04-01T00:00:00"/>
    <x v="4"/>
    <x v="0"/>
    <x v="2"/>
    <x v="2"/>
    <x v="2"/>
    <x v="4"/>
    <x v="0"/>
    <x v="1"/>
    <x v="0"/>
    <n v="1"/>
    <n v="5"/>
    <n v="4"/>
    <n v="4"/>
    <n v="170.61"/>
    <x v="57"/>
    <m/>
    <n v="557.6865165165168"/>
    <x v="0"/>
    <n v="1.9139139139139139"/>
    <n v="557.6865165165168"/>
  </r>
  <r>
    <x v="370"/>
    <d v="2021-03-20T00:00:00"/>
    <x v="0"/>
    <x v="0"/>
    <x v="1"/>
    <x v="0"/>
    <x v="2"/>
    <x v="13"/>
    <x v="3"/>
    <x v="1"/>
    <x v="0"/>
    <n v="5"/>
    <n v="4"/>
    <n v="4"/>
    <n v="4"/>
    <n v="872.91"/>
    <x v="62"/>
    <m/>
    <n v="557.6865165165168"/>
    <x v="0"/>
    <n v="1.9139139139139139"/>
    <n v="557.6865165165168"/>
  </r>
  <r>
    <x v="371"/>
    <d v="2021-06-10T00:00:00"/>
    <x v="9"/>
    <x v="0"/>
    <x v="2"/>
    <x v="0"/>
    <x v="3"/>
    <x v="3"/>
    <x v="0"/>
    <x v="1"/>
    <x v="3"/>
    <n v="3"/>
    <n v="2"/>
    <n v="5"/>
    <n v="5"/>
    <n v="603.66999999999996"/>
    <x v="35"/>
    <m/>
    <n v="557.6865165165168"/>
    <x v="0"/>
    <n v="1.9139139139139139"/>
    <n v="557.6865165165168"/>
  </r>
  <r>
    <x v="372"/>
    <d v="2019-08-25T00:00:00"/>
    <x v="5"/>
    <x v="0"/>
    <x v="0"/>
    <x v="1"/>
    <x v="3"/>
    <x v="4"/>
    <x v="0"/>
    <x v="1"/>
    <x v="3"/>
    <n v="4"/>
    <n v="5"/>
    <n v="3"/>
    <n v="5"/>
    <n v="546.24"/>
    <x v="0"/>
    <m/>
    <n v="557.6865165165168"/>
    <x v="0"/>
    <n v="1.9139139139139139"/>
    <n v="557.6865165165168"/>
  </r>
  <r>
    <x v="373"/>
    <d v="2020-05-04T00:00:00"/>
    <x v="6"/>
    <x v="0"/>
    <x v="0"/>
    <x v="0"/>
    <x v="2"/>
    <x v="13"/>
    <x v="0"/>
    <x v="1"/>
    <x v="0"/>
    <n v="4"/>
    <n v="5"/>
    <n v="1"/>
    <n v="4"/>
    <n v="607.97"/>
    <x v="54"/>
    <m/>
    <n v="557.6865165165168"/>
    <x v="0"/>
    <n v="1.9139139139139139"/>
    <n v="557.6865165165168"/>
  </r>
  <r>
    <x v="374"/>
    <d v="2019-02-24T00:00:00"/>
    <x v="2"/>
    <x v="0"/>
    <x v="2"/>
    <x v="2"/>
    <x v="2"/>
    <x v="4"/>
    <x v="0"/>
    <x v="1"/>
    <x v="0"/>
    <n v="5"/>
    <n v="3"/>
    <n v="1"/>
    <n v="4"/>
    <n v="130.59"/>
    <x v="30"/>
    <m/>
    <n v="557.6865165165168"/>
    <x v="0"/>
    <n v="1.9139139139139139"/>
    <n v="557.6865165165168"/>
  </r>
  <r>
    <x v="375"/>
    <d v="2019-09-24T00:00:00"/>
    <x v="4"/>
    <x v="0"/>
    <x v="1"/>
    <x v="0"/>
    <x v="2"/>
    <x v="4"/>
    <x v="0"/>
    <x v="1"/>
    <x v="0"/>
    <n v="5"/>
    <n v="1"/>
    <n v="4"/>
    <n v="2"/>
    <n v="443.56"/>
    <x v="3"/>
    <m/>
    <n v="557.6865165165168"/>
    <x v="0"/>
    <n v="1.9139139139139139"/>
    <n v="557.6865165165168"/>
  </r>
  <r>
    <x v="376"/>
    <d v="2021-02-13T00:00:00"/>
    <x v="0"/>
    <x v="0"/>
    <x v="0"/>
    <x v="1"/>
    <x v="2"/>
    <x v="3"/>
    <x v="0"/>
    <x v="0"/>
    <x v="0"/>
    <n v="3"/>
    <n v="3"/>
    <n v="1"/>
    <n v="3"/>
    <n v="436.47"/>
    <x v="58"/>
    <m/>
    <n v="557.6865165165168"/>
    <x v="0"/>
    <n v="1.9139139139139139"/>
    <n v="557.6865165165168"/>
  </r>
  <r>
    <x v="377"/>
    <d v="2020-01-05T00:00:00"/>
    <x v="8"/>
    <x v="0"/>
    <x v="2"/>
    <x v="2"/>
    <x v="2"/>
    <x v="17"/>
    <x v="0"/>
    <x v="1"/>
    <x v="0"/>
    <n v="1"/>
    <n v="3"/>
    <n v="5"/>
    <n v="1"/>
    <n v="355.75"/>
    <x v="14"/>
    <m/>
    <n v="557.6865165165168"/>
    <x v="0"/>
    <n v="1.9139139139139139"/>
    <n v="557.6865165165168"/>
  </r>
  <r>
    <x v="378"/>
    <d v="2019-06-06T00:00:00"/>
    <x v="5"/>
    <x v="0"/>
    <x v="2"/>
    <x v="2"/>
    <x v="3"/>
    <x v="19"/>
    <x v="0"/>
    <x v="1"/>
    <x v="0"/>
    <n v="5"/>
    <n v="2"/>
    <n v="5"/>
    <n v="5"/>
    <n v="913.62"/>
    <x v="24"/>
    <m/>
    <n v="557.6865165165168"/>
    <x v="0"/>
    <n v="1.9139139139139139"/>
    <n v="557.6865165165168"/>
  </r>
  <r>
    <x v="379"/>
    <d v="2021-05-25T00:00:00"/>
    <x v="5"/>
    <x v="0"/>
    <x v="2"/>
    <x v="2"/>
    <x v="3"/>
    <x v="16"/>
    <x v="0"/>
    <x v="1"/>
    <x v="0"/>
    <n v="5"/>
    <n v="3"/>
    <n v="4"/>
    <n v="1"/>
    <n v="157.94"/>
    <x v="23"/>
    <m/>
    <n v="557.6865165165168"/>
    <x v="0"/>
    <n v="1.9139139139139139"/>
    <n v="557.6865165165168"/>
  </r>
  <r>
    <x v="380"/>
    <d v="2023-03-17T00:00:00"/>
    <x v="3"/>
    <x v="0"/>
    <x v="2"/>
    <x v="0"/>
    <x v="3"/>
    <x v="13"/>
    <x v="0"/>
    <x v="1"/>
    <x v="3"/>
    <n v="5"/>
    <n v="1"/>
    <n v="4"/>
    <n v="4"/>
    <n v="527.6"/>
    <x v="38"/>
    <m/>
    <n v="557.6865165165168"/>
    <x v="0"/>
    <n v="1.9139139139139139"/>
    <n v="557.6865165165168"/>
  </r>
  <r>
    <x v="381"/>
    <d v="2022-10-02T00:00:00"/>
    <x v="7"/>
    <x v="0"/>
    <x v="0"/>
    <x v="2"/>
    <x v="2"/>
    <x v="10"/>
    <x v="0"/>
    <x v="1"/>
    <x v="3"/>
    <n v="1"/>
    <n v="1"/>
    <n v="2"/>
    <n v="1"/>
    <n v="601.20000000000005"/>
    <x v="9"/>
    <m/>
    <n v="557.6865165165168"/>
    <x v="0"/>
    <n v="1.9139139139139139"/>
    <n v="557.6865165165168"/>
  </r>
  <r>
    <x v="382"/>
    <d v="2022-01-22T00:00:00"/>
    <x v="9"/>
    <x v="0"/>
    <x v="1"/>
    <x v="2"/>
    <x v="2"/>
    <x v="6"/>
    <x v="0"/>
    <x v="1"/>
    <x v="0"/>
    <n v="3"/>
    <n v="3"/>
    <n v="1"/>
    <n v="4"/>
    <n v="478.88"/>
    <x v="4"/>
    <m/>
    <n v="557.6865165165168"/>
    <x v="0"/>
    <n v="1.9139139139139139"/>
    <n v="557.6865165165168"/>
  </r>
  <r>
    <x v="383"/>
    <d v="2019-11-29T00:00:00"/>
    <x v="2"/>
    <x v="0"/>
    <x v="1"/>
    <x v="2"/>
    <x v="2"/>
    <x v="10"/>
    <x v="0"/>
    <x v="0"/>
    <x v="3"/>
    <n v="1"/>
    <n v="2"/>
    <n v="5"/>
    <n v="1"/>
    <n v="838.69"/>
    <x v="2"/>
    <m/>
    <n v="557.6865165165168"/>
    <x v="0"/>
    <n v="1.9139139139139139"/>
    <n v="557.6865165165168"/>
  </r>
  <r>
    <x v="384"/>
    <d v="2020-07-01T00:00:00"/>
    <x v="6"/>
    <x v="0"/>
    <x v="0"/>
    <x v="2"/>
    <x v="2"/>
    <x v="14"/>
    <x v="0"/>
    <x v="0"/>
    <x v="0"/>
    <n v="2"/>
    <n v="4"/>
    <n v="3"/>
    <n v="4"/>
    <n v="389.63"/>
    <x v="46"/>
    <m/>
    <n v="557.6865165165168"/>
    <x v="0"/>
    <n v="1.9139139139139139"/>
    <n v="557.6865165165168"/>
  </r>
  <r>
    <x v="385"/>
    <d v="2022-03-24T00:00:00"/>
    <x v="2"/>
    <x v="0"/>
    <x v="1"/>
    <x v="0"/>
    <x v="2"/>
    <x v="3"/>
    <x v="0"/>
    <x v="1"/>
    <x v="3"/>
    <n v="3"/>
    <n v="1"/>
    <n v="5"/>
    <n v="1"/>
    <n v="911.36"/>
    <x v="36"/>
    <m/>
    <n v="557.6865165165168"/>
    <x v="0"/>
    <n v="1.9139139139139139"/>
    <n v="557.6865165165168"/>
  </r>
  <r>
    <x v="386"/>
    <d v="2019-06-07T00:00:00"/>
    <x v="0"/>
    <x v="0"/>
    <x v="0"/>
    <x v="1"/>
    <x v="2"/>
    <x v="1"/>
    <x v="0"/>
    <x v="0"/>
    <x v="3"/>
    <n v="4"/>
    <n v="2"/>
    <n v="1"/>
    <n v="5"/>
    <n v="274.98"/>
    <x v="42"/>
    <m/>
    <n v="557.6865165165168"/>
    <x v="0"/>
    <n v="1.9139139139139139"/>
    <n v="557.6865165165168"/>
  </r>
  <r>
    <x v="387"/>
    <d v="2020-09-29T00:00:00"/>
    <x v="8"/>
    <x v="0"/>
    <x v="2"/>
    <x v="0"/>
    <x v="0"/>
    <x v="21"/>
    <x v="0"/>
    <x v="1"/>
    <x v="2"/>
    <n v="1"/>
    <n v="4"/>
    <n v="3"/>
    <n v="2"/>
    <n v="399.26"/>
    <x v="36"/>
    <m/>
    <n v="557.6865165165168"/>
    <x v="0"/>
    <n v="1.9139139139139139"/>
    <n v="557.6865165165168"/>
  </r>
  <r>
    <x v="388"/>
    <d v="2020-09-04T00:00:00"/>
    <x v="3"/>
    <x v="0"/>
    <x v="0"/>
    <x v="1"/>
    <x v="3"/>
    <x v="4"/>
    <x v="0"/>
    <x v="1"/>
    <x v="0"/>
    <n v="2"/>
    <n v="1"/>
    <n v="5"/>
    <n v="4"/>
    <n v="993.08"/>
    <x v="34"/>
    <m/>
    <n v="557.6865165165168"/>
    <x v="0"/>
    <n v="1.9139139139139139"/>
    <n v="557.6865165165168"/>
  </r>
  <r>
    <x v="389"/>
    <d v="2018-08-26T00:00:00"/>
    <x v="9"/>
    <x v="0"/>
    <x v="2"/>
    <x v="2"/>
    <x v="3"/>
    <x v="14"/>
    <x v="0"/>
    <x v="1"/>
    <x v="0"/>
    <n v="5"/>
    <n v="3"/>
    <n v="3"/>
    <n v="4"/>
    <n v="540.57000000000005"/>
    <x v="37"/>
    <m/>
    <n v="557.6865165165168"/>
    <x v="0"/>
    <n v="1.9139139139139139"/>
    <n v="557.6865165165168"/>
  </r>
  <r>
    <x v="390"/>
    <d v="2019-08-17T00:00:00"/>
    <x v="5"/>
    <x v="0"/>
    <x v="0"/>
    <x v="1"/>
    <x v="2"/>
    <x v="0"/>
    <x v="0"/>
    <x v="1"/>
    <x v="0"/>
    <n v="3"/>
    <n v="1"/>
    <n v="2"/>
    <n v="3"/>
    <n v="272.58"/>
    <x v="55"/>
    <m/>
    <n v="557.6865165165168"/>
    <x v="0"/>
    <n v="1.9139139139139139"/>
    <n v="557.6865165165168"/>
  </r>
  <r>
    <x v="391"/>
    <d v="2019-09-25T00:00:00"/>
    <x v="6"/>
    <x v="0"/>
    <x v="1"/>
    <x v="1"/>
    <x v="2"/>
    <x v="4"/>
    <x v="0"/>
    <x v="1"/>
    <x v="0"/>
    <n v="1"/>
    <n v="4"/>
    <n v="2"/>
    <n v="2"/>
    <n v="905.51"/>
    <x v="58"/>
    <m/>
    <n v="557.6865165165168"/>
    <x v="0"/>
    <n v="1.9139139139139139"/>
    <n v="557.6865165165168"/>
  </r>
  <r>
    <x v="392"/>
    <d v="2023-03-11T00:00:00"/>
    <x v="2"/>
    <x v="0"/>
    <x v="0"/>
    <x v="2"/>
    <x v="2"/>
    <x v="9"/>
    <x v="0"/>
    <x v="1"/>
    <x v="0"/>
    <n v="1"/>
    <n v="5"/>
    <n v="1"/>
    <n v="1"/>
    <n v="919.25"/>
    <x v="36"/>
    <m/>
    <n v="557.6865165165168"/>
    <x v="0"/>
    <n v="1.9139139139139139"/>
    <n v="557.6865165165168"/>
  </r>
  <r>
    <x v="393"/>
    <d v="2022-12-15T00:00:00"/>
    <x v="4"/>
    <x v="0"/>
    <x v="1"/>
    <x v="2"/>
    <x v="2"/>
    <x v="3"/>
    <x v="0"/>
    <x v="0"/>
    <x v="0"/>
    <n v="4"/>
    <n v="5"/>
    <n v="2"/>
    <n v="5"/>
    <n v="979.98"/>
    <x v="62"/>
    <m/>
    <n v="557.6865165165168"/>
    <x v="0"/>
    <n v="1.9139139139139139"/>
    <n v="557.6865165165168"/>
  </r>
  <r>
    <x v="394"/>
    <d v="2018-08-10T00:00:00"/>
    <x v="0"/>
    <x v="0"/>
    <x v="0"/>
    <x v="2"/>
    <x v="2"/>
    <x v="6"/>
    <x v="0"/>
    <x v="0"/>
    <x v="0"/>
    <n v="5"/>
    <n v="5"/>
    <n v="3"/>
    <n v="3"/>
    <n v="499.86"/>
    <x v="22"/>
    <m/>
    <n v="557.6865165165168"/>
    <x v="0"/>
    <n v="1.9139139139139139"/>
    <n v="557.6865165165168"/>
  </r>
  <r>
    <x v="395"/>
    <d v="2022-03-04T00:00:00"/>
    <x v="6"/>
    <x v="0"/>
    <x v="1"/>
    <x v="2"/>
    <x v="2"/>
    <x v="7"/>
    <x v="0"/>
    <x v="1"/>
    <x v="0"/>
    <n v="3"/>
    <n v="4"/>
    <n v="5"/>
    <n v="3"/>
    <n v="598.22"/>
    <x v="0"/>
    <m/>
    <n v="557.6865165165168"/>
    <x v="0"/>
    <n v="1.9139139139139139"/>
    <n v="557.6865165165168"/>
  </r>
  <r>
    <x v="396"/>
    <d v="2020-06-02T00:00:00"/>
    <x v="2"/>
    <x v="0"/>
    <x v="2"/>
    <x v="0"/>
    <x v="2"/>
    <x v="3"/>
    <x v="3"/>
    <x v="1"/>
    <x v="0"/>
    <n v="4"/>
    <n v="4"/>
    <n v="5"/>
    <n v="2"/>
    <n v="421.93"/>
    <x v="3"/>
    <m/>
    <n v="557.6865165165168"/>
    <x v="0"/>
    <n v="1.9139139139139139"/>
    <n v="557.6865165165168"/>
  </r>
  <r>
    <x v="397"/>
    <d v="2021-06-29T00:00:00"/>
    <x v="4"/>
    <x v="0"/>
    <x v="0"/>
    <x v="1"/>
    <x v="2"/>
    <x v="20"/>
    <x v="3"/>
    <x v="1"/>
    <x v="0"/>
    <n v="5"/>
    <n v="5"/>
    <n v="1"/>
    <n v="2"/>
    <n v="860.22"/>
    <x v="22"/>
    <m/>
    <n v="557.6865165165168"/>
    <x v="0"/>
    <n v="1.9139139139139139"/>
    <n v="557.6865165165168"/>
  </r>
  <r>
    <x v="398"/>
    <d v="2021-10-24T00:00:00"/>
    <x v="0"/>
    <x v="0"/>
    <x v="0"/>
    <x v="0"/>
    <x v="2"/>
    <x v="3"/>
    <x v="0"/>
    <x v="0"/>
    <x v="3"/>
    <n v="3"/>
    <n v="2"/>
    <n v="5"/>
    <n v="1"/>
    <n v="946.23"/>
    <x v="14"/>
    <m/>
    <n v="557.6865165165168"/>
    <x v="0"/>
    <n v="1.9139139139139139"/>
    <n v="557.6865165165168"/>
  </r>
  <r>
    <x v="399"/>
    <d v="2018-10-22T00:00:00"/>
    <x v="8"/>
    <x v="0"/>
    <x v="2"/>
    <x v="1"/>
    <x v="3"/>
    <x v="3"/>
    <x v="0"/>
    <x v="1"/>
    <x v="3"/>
    <n v="3"/>
    <n v="3"/>
    <n v="4"/>
    <n v="1"/>
    <n v="888.55"/>
    <x v="58"/>
    <m/>
    <n v="557.6865165165168"/>
    <x v="0"/>
    <n v="1.9139139139139139"/>
    <n v="557.6865165165168"/>
  </r>
  <r>
    <x v="400"/>
    <d v="2018-09-08T00:00:00"/>
    <x v="3"/>
    <x v="0"/>
    <x v="0"/>
    <x v="2"/>
    <x v="3"/>
    <x v="6"/>
    <x v="0"/>
    <x v="1"/>
    <x v="0"/>
    <n v="4"/>
    <n v="4"/>
    <n v="1"/>
    <n v="5"/>
    <n v="749.69"/>
    <x v="62"/>
    <m/>
    <n v="557.6865165165168"/>
    <x v="0"/>
    <n v="1.9139139139139139"/>
    <n v="557.6865165165168"/>
  </r>
  <r>
    <x v="401"/>
    <d v="2019-02-08T00:00:00"/>
    <x v="9"/>
    <x v="0"/>
    <x v="1"/>
    <x v="0"/>
    <x v="2"/>
    <x v="4"/>
    <x v="0"/>
    <x v="1"/>
    <x v="0"/>
    <n v="1"/>
    <n v="5"/>
    <n v="2"/>
    <n v="2"/>
    <n v="613.95000000000005"/>
    <x v="3"/>
    <m/>
    <n v="557.6865165165168"/>
    <x v="0"/>
    <n v="1.9139139139139139"/>
    <n v="557.6865165165168"/>
  </r>
  <r>
    <x v="402"/>
    <d v="2021-03-29T00:00:00"/>
    <x v="5"/>
    <x v="0"/>
    <x v="2"/>
    <x v="2"/>
    <x v="2"/>
    <x v="3"/>
    <x v="0"/>
    <x v="1"/>
    <x v="0"/>
    <n v="4"/>
    <n v="3"/>
    <n v="1"/>
    <n v="3"/>
    <n v="934.92"/>
    <x v="40"/>
    <m/>
    <n v="557.6865165165168"/>
    <x v="0"/>
    <n v="1.9139139139139139"/>
    <n v="557.6865165165168"/>
  </r>
  <r>
    <x v="403"/>
    <d v="2019-06-19T00:00:00"/>
    <x v="6"/>
    <x v="0"/>
    <x v="2"/>
    <x v="2"/>
    <x v="2"/>
    <x v="4"/>
    <x v="0"/>
    <x v="1"/>
    <x v="0"/>
    <n v="5"/>
    <n v="3"/>
    <n v="5"/>
    <n v="3"/>
    <n v="170.61"/>
    <x v="2"/>
    <m/>
    <n v="557.6865165165168"/>
    <x v="0"/>
    <n v="1.9139139139139139"/>
    <n v="557.6865165165168"/>
  </r>
  <r>
    <x v="404"/>
    <d v="2019-01-30T00:00:00"/>
    <x v="2"/>
    <x v="0"/>
    <x v="0"/>
    <x v="0"/>
    <x v="2"/>
    <x v="15"/>
    <x v="0"/>
    <x v="0"/>
    <x v="0"/>
    <n v="5"/>
    <n v="3"/>
    <n v="3"/>
    <n v="2"/>
    <n v="654.09"/>
    <x v="8"/>
    <m/>
    <n v="557.6865165165168"/>
    <x v="0"/>
    <n v="1.9139139139139139"/>
    <n v="557.6865165165168"/>
  </r>
  <r>
    <x v="405"/>
    <d v="2022-05-06T00:00:00"/>
    <x v="4"/>
    <x v="0"/>
    <x v="0"/>
    <x v="2"/>
    <x v="2"/>
    <x v="4"/>
    <x v="0"/>
    <x v="0"/>
    <x v="0"/>
    <n v="2"/>
    <n v="2"/>
    <n v="1"/>
    <n v="2"/>
    <n v="842.6"/>
    <x v="44"/>
    <m/>
    <n v="557.6865165165168"/>
    <x v="0"/>
    <n v="1.9139139139139139"/>
    <n v="557.6865165165168"/>
  </r>
  <r>
    <x v="406"/>
    <d v="2019-02-02T00:00:00"/>
    <x v="0"/>
    <x v="0"/>
    <x v="1"/>
    <x v="2"/>
    <x v="2"/>
    <x v="6"/>
    <x v="0"/>
    <x v="0"/>
    <x v="0"/>
    <n v="4"/>
    <n v="2"/>
    <n v="3"/>
    <n v="1"/>
    <n v="789.88"/>
    <x v="37"/>
    <m/>
    <n v="557.6865165165168"/>
    <x v="0"/>
    <n v="1.9139139139139139"/>
    <n v="557.6865165165168"/>
  </r>
  <r>
    <x v="407"/>
    <d v="2021-12-08T00:00:00"/>
    <x v="1"/>
    <x v="0"/>
    <x v="1"/>
    <x v="2"/>
    <x v="2"/>
    <x v="6"/>
    <x v="3"/>
    <x v="0"/>
    <x v="0"/>
    <n v="5"/>
    <n v="5"/>
    <n v="5"/>
    <n v="2"/>
    <n v="324.81"/>
    <x v="8"/>
    <m/>
    <n v="557.6865165165168"/>
    <x v="0"/>
    <n v="1.9139139139139139"/>
    <n v="557.6865165165168"/>
  </r>
  <r>
    <x v="408"/>
    <d v="2018-10-12T00:00:00"/>
    <x v="8"/>
    <x v="0"/>
    <x v="2"/>
    <x v="2"/>
    <x v="2"/>
    <x v="15"/>
    <x v="3"/>
    <x v="1"/>
    <x v="0"/>
    <n v="5"/>
    <n v="2"/>
    <n v="5"/>
    <n v="4"/>
    <n v="298.10000000000002"/>
    <x v="11"/>
    <m/>
    <n v="557.6865165165168"/>
    <x v="0"/>
    <n v="1.9139139139139139"/>
    <n v="557.6865165165168"/>
  </r>
  <r>
    <x v="409"/>
    <d v="2022-09-05T00:00:00"/>
    <x v="3"/>
    <x v="0"/>
    <x v="0"/>
    <x v="2"/>
    <x v="3"/>
    <x v="3"/>
    <x v="0"/>
    <x v="1"/>
    <x v="0"/>
    <n v="2"/>
    <n v="1"/>
    <n v="1"/>
    <n v="1"/>
    <n v="292.8"/>
    <x v="21"/>
    <m/>
    <n v="557.6865165165168"/>
    <x v="0"/>
    <n v="1.9139139139139139"/>
    <n v="557.6865165165168"/>
  </r>
  <r>
    <x v="410"/>
    <d v="2022-07-19T00:00:00"/>
    <x v="5"/>
    <x v="0"/>
    <x v="1"/>
    <x v="2"/>
    <x v="2"/>
    <x v="3"/>
    <x v="0"/>
    <x v="1"/>
    <x v="0"/>
    <n v="2"/>
    <n v="3"/>
    <n v="3"/>
    <n v="4"/>
    <n v="596.62"/>
    <x v="3"/>
    <m/>
    <n v="557.6865165165168"/>
    <x v="0"/>
    <n v="1.9139139139139139"/>
    <n v="557.6865165165168"/>
  </r>
  <r>
    <x v="411"/>
    <d v="2022-05-26T00:00:00"/>
    <x v="4"/>
    <x v="0"/>
    <x v="1"/>
    <x v="0"/>
    <x v="2"/>
    <x v="6"/>
    <x v="0"/>
    <x v="1"/>
    <x v="0"/>
    <n v="3"/>
    <n v="2"/>
    <n v="2"/>
    <n v="5"/>
    <n v="774.74"/>
    <x v="47"/>
    <m/>
    <n v="557.6865165165168"/>
    <x v="0"/>
    <n v="1.9139139139139139"/>
    <n v="557.6865165165168"/>
  </r>
  <r>
    <x v="412"/>
    <d v="2022-10-31T00:00:00"/>
    <x v="0"/>
    <x v="0"/>
    <x v="1"/>
    <x v="1"/>
    <x v="2"/>
    <x v="6"/>
    <x v="0"/>
    <x v="1"/>
    <x v="0"/>
    <n v="5"/>
    <n v="4"/>
    <n v="2"/>
    <n v="5"/>
    <n v="894.59"/>
    <x v="7"/>
    <m/>
    <n v="557.6865165165168"/>
    <x v="0"/>
    <n v="1.9139139139139139"/>
    <n v="557.6865165165168"/>
  </r>
  <r>
    <x v="413"/>
    <d v="2023-03-22T00:00:00"/>
    <x v="1"/>
    <x v="0"/>
    <x v="1"/>
    <x v="2"/>
    <x v="2"/>
    <x v="3"/>
    <x v="0"/>
    <x v="0"/>
    <x v="0"/>
    <n v="3"/>
    <n v="1"/>
    <n v="2"/>
    <n v="1"/>
    <n v="242.36"/>
    <x v="10"/>
    <m/>
    <n v="557.6865165165168"/>
    <x v="0"/>
    <n v="1.9139139139139139"/>
    <n v="557.6865165165168"/>
  </r>
  <r>
    <x v="414"/>
    <d v="2023-05-29T00:00:00"/>
    <x v="8"/>
    <x v="0"/>
    <x v="1"/>
    <x v="1"/>
    <x v="2"/>
    <x v="1"/>
    <x v="0"/>
    <x v="0"/>
    <x v="0"/>
    <n v="4"/>
    <n v="3"/>
    <n v="5"/>
    <n v="4"/>
    <n v="533.27"/>
    <x v="32"/>
    <m/>
    <n v="557.6865165165168"/>
    <x v="0"/>
    <n v="1.9139139139139139"/>
    <n v="557.6865165165168"/>
  </r>
  <r>
    <x v="415"/>
    <d v="2020-02-23T00:00:00"/>
    <x v="6"/>
    <x v="0"/>
    <x v="1"/>
    <x v="0"/>
    <x v="2"/>
    <x v="8"/>
    <x v="0"/>
    <x v="0"/>
    <x v="0"/>
    <n v="2"/>
    <n v="1"/>
    <n v="2"/>
    <n v="1"/>
    <n v="983.77"/>
    <x v="24"/>
    <m/>
    <n v="557.6865165165168"/>
    <x v="0"/>
    <n v="1.9139139139139139"/>
    <n v="557.6865165165168"/>
  </r>
  <r>
    <x v="416"/>
    <d v="2019-08-13T00:00:00"/>
    <x v="2"/>
    <x v="0"/>
    <x v="2"/>
    <x v="2"/>
    <x v="2"/>
    <x v="6"/>
    <x v="0"/>
    <x v="0"/>
    <x v="0"/>
    <n v="5"/>
    <n v="3"/>
    <n v="1"/>
    <n v="4"/>
    <n v="293.64"/>
    <x v="52"/>
    <m/>
    <n v="557.6865165165168"/>
    <x v="0"/>
    <n v="1.9139139139139139"/>
    <n v="557.6865165165168"/>
  </r>
  <r>
    <x v="417"/>
    <d v="2019-03-25T00:00:00"/>
    <x v="6"/>
    <x v="0"/>
    <x v="2"/>
    <x v="1"/>
    <x v="2"/>
    <x v="1"/>
    <x v="3"/>
    <x v="0"/>
    <x v="0"/>
    <n v="5"/>
    <n v="4"/>
    <n v="3"/>
    <n v="3"/>
    <n v="380.61"/>
    <x v="6"/>
    <m/>
    <n v="557.6865165165168"/>
    <x v="0"/>
    <n v="1.9139139139139139"/>
    <n v="557.6865165165168"/>
  </r>
  <r>
    <x v="418"/>
    <d v="2023-06-16T00:00:00"/>
    <x v="0"/>
    <x v="0"/>
    <x v="0"/>
    <x v="0"/>
    <x v="2"/>
    <x v="4"/>
    <x v="0"/>
    <x v="0"/>
    <x v="0"/>
    <n v="5"/>
    <n v="2"/>
    <n v="1"/>
    <n v="5"/>
    <n v="143.21"/>
    <x v="39"/>
    <m/>
    <n v="557.6865165165168"/>
    <x v="0"/>
    <n v="1.9139139139139139"/>
    <n v="557.6865165165168"/>
  </r>
  <r>
    <x v="419"/>
    <d v="2021-06-18T00:00:00"/>
    <x v="1"/>
    <x v="0"/>
    <x v="2"/>
    <x v="1"/>
    <x v="3"/>
    <x v="11"/>
    <x v="0"/>
    <x v="1"/>
    <x v="0"/>
    <n v="1"/>
    <n v="2"/>
    <n v="5"/>
    <n v="1"/>
    <n v="876.73"/>
    <x v="29"/>
    <m/>
    <n v="557.6865165165168"/>
    <x v="0"/>
    <n v="1.9139139139139139"/>
    <n v="557.6865165165168"/>
  </r>
  <r>
    <x v="420"/>
    <d v="2023-05-22T00:00:00"/>
    <x v="8"/>
    <x v="0"/>
    <x v="0"/>
    <x v="2"/>
    <x v="3"/>
    <x v="13"/>
    <x v="0"/>
    <x v="1"/>
    <x v="0"/>
    <n v="3"/>
    <n v="1"/>
    <n v="1"/>
    <n v="4"/>
    <n v="768.05"/>
    <x v="9"/>
    <m/>
    <n v="557.6865165165168"/>
    <x v="0"/>
    <n v="1.9139139139139139"/>
    <n v="557.6865165165168"/>
  </r>
  <r>
    <x v="421"/>
    <d v="2019-05-14T00:00:00"/>
    <x v="3"/>
    <x v="0"/>
    <x v="1"/>
    <x v="1"/>
    <x v="2"/>
    <x v="4"/>
    <x v="0"/>
    <x v="1"/>
    <x v="0"/>
    <n v="1"/>
    <n v="4"/>
    <n v="3"/>
    <n v="4"/>
    <n v="153.15"/>
    <x v="18"/>
    <m/>
    <n v="557.6865165165168"/>
    <x v="0"/>
    <n v="1.9139139139139139"/>
    <n v="557.6865165165168"/>
  </r>
  <r>
    <x v="422"/>
    <d v="2020-12-27T00:00:00"/>
    <x v="9"/>
    <x v="0"/>
    <x v="0"/>
    <x v="1"/>
    <x v="2"/>
    <x v="6"/>
    <x v="0"/>
    <x v="1"/>
    <x v="0"/>
    <n v="4"/>
    <n v="4"/>
    <n v="1"/>
    <n v="5"/>
    <n v="339.73"/>
    <x v="0"/>
    <m/>
    <n v="557.6865165165168"/>
    <x v="0"/>
    <n v="1.9139139139139139"/>
    <n v="557.6865165165168"/>
  </r>
  <r>
    <x v="423"/>
    <d v="2020-08-04T00:00:00"/>
    <x v="5"/>
    <x v="0"/>
    <x v="1"/>
    <x v="1"/>
    <x v="2"/>
    <x v="18"/>
    <x v="0"/>
    <x v="0"/>
    <x v="0"/>
    <n v="5"/>
    <n v="5"/>
    <n v="5"/>
    <n v="3"/>
    <n v="233.22"/>
    <x v="47"/>
    <m/>
    <n v="557.6865165165168"/>
    <x v="0"/>
    <n v="1.9139139139139139"/>
    <n v="557.6865165165168"/>
  </r>
  <r>
    <x v="424"/>
    <d v="2020-08-25T00:00:00"/>
    <x v="6"/>
    <x v="0"/>
    <x v="0"/>
    <x v="0"/>
    <x v="2"/>
    <x v="13"/>
    <x v="0"/>
    <x v="0"/>
    <x v="0"/>
    <n v="3"/>
    <n v="2"/>
    <n v="4"/>
    <n v="2"/>
    <n v="735.44"/>
    <x v="54"/>
    <m/>
    <n v="557.6865165165168"/>
    <x v="0"/>
    <n v="1.9139139139139139"/>
    <n v="557.6865165165168"/>
  </r>
  <r>
    <x v="425"/>
    <d v="2022-02-24T00:00:00"/>
    <x v="2"/>
    <x v="0"/>
    <x v="1"/>
    <x v="1"/>
    <x v="2"/>
    <x v="6"/>
    <x v="0"/>
    <x v="0"/>
    <x v="0"/>
    <n v="3"/>
    <n v="2"/>
    <n v="5"/>
    <n v="3"/>
    <n v="281.7"/>
    <x v="1"/>
    <m/>
    <n v="557.6865165165168"/>
    <x v="0"/>
    <n v="1.9139139139139139"/>
    <n v="557.6865165165168"/>
  </r>
  <r>
    <x v="426"/>
    <d v="2019-08-06T00:00:00"/>
    <x v="4"/>
    <x v="0"/>
    <x v="2"/>
    <x v="0"/>
    <x v="2"/>
    <x v="8"/>
    <x v="0"/>
    <x v="0"/>
    <x v="2"/>
    <n v="2"/>
    <n v="5"/>
    <n v="3"/>
    <n v="1"/>
    <n v="489.69"/>
    <x v="29"/>
    <m/>
    <n v="557.6865165165168"/>
    <x v="0"/>
    <n v="1.9139139139139139"/>
    <n v="557.6865165165168"/>
  </r>
  <r>
    <x v="427"/>
    <d v="2021-08-01T00:00:00"/>
    <x v="0"/>
    <x v="0"/>
    <x v="2"/>
    <x v="0"/>
    <x v="2"/>
    <x v="5"/>
    <x v="0"/>
    <x v="0"/>
    <x v="2"/>
    <n v="1"/>
    <n v="1"/>
    <n v="2"/>
    <n v="4"/>
    <n v="436.23"/>
    <x v="24"/>
    <m/>
    <n v="557.6865165165168"/>
    <x v="0"/>
    <n v="1.9139139139139139"/>
    <n v="557.6865165165168"/>
  </r>
  <r>
    <x v="428"/>
    <d v="2022-07-13T00:00:00"/>
    <x v="5"/>
    <x v="0"/>
    <x v="2"/>
    <x v="1"/>
    <x v="2"/>
    <x v="15"/>
    <x v="0"/>
    <x v="0"/>
    <x v="2"/>
    <n v="5"/>
    <n v="3"/>
    <n v="4"/>
    <n v="5"/>
    <n v="248.85"/>
    <x v="17"/>
    <m/>
    <n v="557.6865165165168"/>
    <x v="0"/>
    <n v="1.9139139139139139"/>
    <n v="557.6865165165168"/>
  </r>
  <r>
    <x v="429"/>
    <d v="2021-05-28T00:00:00"/>
    <x v="6"/>
    <x v="0"/>
    <x v="1"/>
    <x v="1"/>
    <x v="2"/>
    <x v="8"/>
    <x v="3"/>
    <x v="1"/>
    <x v="0"/>
    <n v="2"/>
    <n v="5"/>
    <n v="4"/>
    <n v="5"/>
    <n v="395.22"/>
    <x v="4"/>
    <m/>
    <n v="557.6865165165168"/>
    <x v="0"/>
    <n v="1.9139139139139139"/>
    <n v="557.6865165165168"/>
  </r>
  <r>
    <x v="430"/>
    <d v="2020-02-04T00:00:00"/>
    <x v="7"/>
    <x v="0"/>
    <x v="0"/>
    <x v="0"/>
    <x v="3"/>
    <x v="6"/>
    <x v="0"/>
    <x v="1"/>
    <x v="1"/>
    <n v="3"/>
    <n v="5"/>
    <n v="3"/>
    <n v="1"/>
    <n v="559.86"/>
    <x v="47"/>
    <m/>
    <n v="557.6865165165168"/>
    <x v="0"/>
    <n v="1.9139139139139139"/>
    <n v="557.6865165165168"/>
  </r>
  <r>
    <x v="431"/>
    <d v="2022-08-28T00:00:00"/>
    <x v="3"/>
    <x v="0"/>
    <x v="0"/>
    <x v="2"/>
    <x v="2"/>
    <x v="4"/>
    <x v="0"/>
    <x v="1"/>
    <x v="0"/>
    <n v="5"/>
    <n v="3"/>
    <n v="1"/>
    <n v="2"/>
    <n v="602.21"/>
    <x v="44"/>
    <m/>
    <n v="557.6865165165168"/>
    <x v="0"/>
    <n v="1.9139139139139139"/>
    <n v="557.6865165165168"/>
  </r>
  <r>
    <x v="432"/>
    <d v="2022-06-27T00:00:00"/>
    <x v="5"/>
    <x v="0"/>
    <x v="2"/>
    <x v="0"/>
    <x v="2"/>
    <x v="9"/>
    <x v="0"/>
    <x v="1"/>
    <x v="0"/>
    <n v="1"/>
    <n v="3"/>
    <n v="1"/>
    <n v="4"/>
    <n v="343.6"/>
    <x v="1"/>
    <m/>
    <n v="557.6865165165168"/>
    <x v="0"/>
    <n v="1.9139139139139139"/>
    <n v="557.6865165165168"/>
  </r>
  <r>
    <x v="433"/>
    <d v="2019-12-19T00:00:00"/>
    <x v="9"/>
    <x v="0"/>
    <x v="2"/>
    <x v="0"/>
    <x v="2"/>
    <x v="3"/>
    <x v="0"/>
    <x v="0"/>
    <x v="1"/>
    <n v="3"/>
    <n v="1"/>
    <n v="4"/>
    <n v="3"/>
    <n v="328.89"/>
    <x v="18"/>
    <m/>
    <n v="557.6865165165168"/>
    <x v="0"/>
    <n v="1.9139139139139139"/>
    <n v="557.6865165165168"/>
  </r>
  <r>
    <x v="434"/>
    <d v="2020-09-24T00:00:00"/>
    <x v="5"/>
    <x v="0"/>
    <x v="0"/>
    <x v="1"/>
    <x v="2"/>
    <x v="4"/>
    <x v="0"/>
    <x v="0"/>
    <x v="0"/>
    <n v="3"/>
    <n v="3"/>
    <n v="5"/>
    <n v="3"/>
    <n v="701.83"/>
    <x v="35"/>
    <m/>
    <n v="557.6865165165168"/>
    <x v="0"/>
    <n v="1.9139139139139139"/>
    <n v="557.6865165165168"/>
  </r>
  <r>
    <x v="435"/>
    <d v="2023-07-06T00:00:00"/>
    <x v="6"/>
    <x v="0"/>
    <x v="0"/>
    <x v="0"/>
    <x v="2"/>
    <x v="4"/>
    <x v="0"/>
    <x v="0"/>
    <x v="0"/>
    <n v="3"/>
    <n v="3"/>
    <n v="2"/>
    <n v="5"/>
    <n v="229.03"/>
    <x v="45"/>
    <m/>
    <n v="557.6865165165168"/>
    <x v="0"/>
    <n v="1.9139139139139139"/>
    <n v="557.6865165165168"/>
  </r>
  <r>
    <x v="436"/>
    <d v="2021-04-11T00:00:00"/>
    <x v="2"/>
    <x v="0"/>
    <x v="1"/>
    <x v="1"/>
    <x v="2"/>
    <x v="4"/>
    <x v="0"/>
    <x v="0"/>
    <x v="0"/>
    <n v="2"/>
    <n v="1"/>
    <n v="4"/>
    <n v="3"/>
    <n v="809.39"/>
    <x v="35"/>
    <m/>
    <n v="557.6865165165168"/>
    <x v="0"/>
    <n v="1.9139139139139139"/>
    <n v="557.6865165165168"/>
  </r>
  <r>
    <x v="437"/>
    <d v="2020-02-12T00:00:00"/>
    <x v="4"/>
    <x v="0"/>
    <x v="0"/>
    <x v="1"/>
    <x v="2"/>
    <x v="8"/>
    <x v="0"/>
    <x v="0"/>
    <x v="0"/>
    <n v="4"/>
    <n v="3"/>
    <n v="2"/>
    <n v="5"/>
    <n v="393.54"/>
    <x v="24"/>
    <m/>
    <n v="557.6865165165168"/>
    <x v="0"/>
    <n v="1.9139139139139139"/>
    <n v="557.6865165165168"/>
  </r>
  <r>
    <x v="438"/>
    <d v="2018-12-25T00:00:00"/>
    <x v="0"/>
    <x v="0"/>
    <x v="2"/>
    <x v="1"/>
    <x v="2"/>
    <x v="3"/>
    <x v="0"/>
    <x v="0"/>
    <x v="0"/>
    <n v="5"/>
    <n v="3"/>
    <n v="1"/>
    <n v="1"/>
    <n v="629.74"/>
    <x v="23"/>
    <m/>
    <n v="557.6865165165168"/>
    <x v="0"/>
    <n v="1.9139139139139139"/>
    <n v="557.6865165165168"/>
  </r>
  <r>
    <x v="439"/>
    <d v="2021-12-25T00:00:00"/>
    <x v="5"/>
    <x v="0"/>
    <x v="1"/>
    <x v="0"/>
    <x v="2"/>
    <x v="1"/>
    <x v="0"/>
    <x v="0"/>
    <x v="1"/>
    <n v="2"/>
    <n v="4"/>
    <n v="3"/>
    <n v="2"/>
    <n v="378.39"/>
    <x v="59"/>
    <m/>
    <n v="557.6865165165168"/>
    <x v="0"/>
    <n v="1.9139139139139139"/>
    <n v="557.6865165165168"/>
  </r>
  <r>
    <x v="440"/>
    <d v="2021-05-22T00:00:00"/>
    <x v="6"/>
    <x v="0"/>
    <x v="1"/>
    <x v="2"/>
    <x v="2"/>
    <x v="3"/>
    <x v="3"/>
    <x v="1"/>
    <x v="0"/>
    <n v="2"/>
    <n v="4"/>
    <n v="5"/>
    <n v="2"/>
    <n v="715.98"/>
    <x v="39"/>
    <m/>
    <n v="557.6865165165168"/>
    <x v="0"/>
    <n v="1.9139139139139139"/>
    <n v="557.6865165165168"/>
  </r>
  <r>
    <x v="441"/>
    <d v="2019-02-27T00:00:00"/>
    <x v="4"/>
    <x v="0"/>
    <x v="1"/>
    <x v="0"/>
    <x v="2"/>
    <x v="15"/>
    <x v="0"/>
    <x v="0"/>
    <x v="2"/>
    <n v="4"/>
    <n v="1"/>
    <n v="4"/>
    <n v="2"/>
    <n v="449.35"/>
    <x v="33"/>
    <m/>
    <n v="557.6865165165168"/>
    <x v="0"/>
    <n v="1.9139139139139139"/>
    <n v="557.6865165165168"/>
  </r>
  <r>
    <x v="442"/>
    <d v="2020-03-01T00:00:00"/>
    <x v="7"/>
    <x v="0"/>
    <x v="0"/>
    <x v="0"/>
    <x v="3"/>
    <x v="1"/>
    <x v="0"/>
    <x v="1"/>
    <x v="0"/>
    <n v="5"/>
    <n v="4"/>
    <n v="1"/>
    <n v="2"/>
    <n v="878.67"/>
    <x v="15"/>
    <m/>
    <n v="557.6865165165168"/>
    <x v="0"/>
    <n v="1.9139139139139139"/>
    <n v="557.6865165165168"/>
  </r>
  <r>
    <x v="443"/>
    <d v="2021-01-27T00:00:00"/>
    <x v="3"/>
    <x v="0"/>
    <x v="1"/>
    <x v="1"/>
    <x v="2"/>
    <x v="3"/>
    <x v="0"/>
    <x v="1"/>
    <x v="0"/>
    <n v="4"/>
    <n v="2"/>
    <n v="1"/>
    <n v="1"/>
    <n v="799.99"/>
    <x v="60"/>
    <m/>
    <n v="557.6865165165168"/>
    <x v="0"/>
    <n v="1.9139139139139139"/>
    <n v="557.6865165165168"/>
  </r>
  <r>
    <x v="444"/>
    <d v="2023-06-18T00:00:00"/>
    <x v="5"/>
    <x v="0"/>
    <x v="0"/>
    <x v="0"/>
    <x v="2"/>
    <x v="13"/>
    <x v="0"/>
    <x v="0"/>
    <x v="0"/>
    <n v="2"/>
    <n v="5"/>
    <n v="2"/>
    <n v="3"/>
    <n v="617.52"/>
    <x v="51"/>
    <m/>
    <n v="557.6865165165168"/>
    <x v="0"/>
    <n v="1.9139139139139139"/>
    <n v="557.6865165165168"/>
  </r>
  <r>
    <x v="445"/>
    <d v="2019-11-24T00:00:00"/>
    <x v="4"/>
    <x v="0"/>
    <x v="0"/>
    <x v="1"/>
    <x v="2"/>
    <x v="3"/>
    <x v="0"/>
    <x v="0"/>
    <x v="0"/>
    <n v="4"/>
    <n v="4"/>
    <n v="4"/>
    <n v="5"/>
    <n v="522.86"/>
    <x v="41"/>
    <m/>
    <n v="557.6865165165168"/>
    <x v="0"/>
    <n v="1.9139139139139139"/>
    <n v="557.6865165165168"/>
  </r>
  <r>
    <x v="446"/>
    <d v="2021-09-24T00:00:00"/>
    <x v="0"/>
    <x v="0"/>
    <x v="2"/>
    <x v="1"/>
    <x v="2"/>
    <x v="6"/>
    <x v="0"/>
    <x v="1"/>
    <x v="0"/>
    <n v="2"/>
    <n v="1"/>
    <n v="5"/>
    <n v="5"/>
    <n v="685.82"/>
    <x v="34"/>
    <m/>
    <n v="557.6865165165168"/>
    <x v="0"/>
    <n v="1.9139139139139139"/>
    <n v="557.6865165165168"/>
  </r>
  <r>
    <x v="447"/>
    <d v="2022-08-17T00:00:00"/>
    <x v="1"/>
    <x v="0"/>
    <x v="0"/>
    <x v="2"/>
    <x v="2"/>
    <x v="5"/>
    <x v="0"/>
    <x v="0"/>
    <x v="0"/>
    <n v="5"/>
    <n v="5"/>
    <n v="4"/>
    <n v="5"/>
    <n v="898.93"/>
    <x v="36"/>
    <m/>
    <n v="557.6865165165168"/>
    <x v="0"/>
    <n v="1.9139139139139139"/>
    <n v="557.6865165165168"/>
  </r>
  <r>
    <x v="448"/>
    <d v="2023-04-18T00:00:00"/>
    <x v="8"/>
    <x v="0"/>
    <x v="0"/>
    <x v="1"/>
    <x v="2"/>
    <x v="6"/>
    <x v="0"/>
    <x v="0"/>
    <x v="0"/>
    <n v="3"/>
    <n v="4"/>
    <n v="5"/>
    <n v="1"/>
    <n v="559.54999999999995"/>
    <x v="56"/>
    <m/>
    <n v="557.6865165165168"/>
    <x v="0"/>
    <n v="1.9139139139139139"/>
    <n v="557.6865165165168"/>
  </r>
  <r>
    <x v="449"/>
    <d v="2020-04-15T00:00:00"/>
    <x v="6"/>
    <x v="0"/>
    <x v="1"/>
    <x v="0"/>
    <x v="2"/>
    <x v="7"/>
    <x v="0"/>
    <x v="0"/>
    <x v="0"/>
    <n v="3"/>
    <n v="3"/>
    <n v="2"/>
    <n v="5"/>
    <n v="219.78"/>
    <x v="11"/>
    <m/>
    <n v="557.6865165165168"/>
    <x v="0"/>
    <n v="1.9139139139139139"/>
    <n v="557.6865165165168"/>
  </r>
  <r>
    <x v="450"/>
    <d v="2020-12-25T00:00:00"/>
    <x v="2"/>
    <x v="0"/>
    <x v="1"/>
    <x v="0"/>
    <x v="2"/>
    <x v="1"/>
    <x v="0"/>
    <x v="1"/>
    <x v="0"/>
    <n v="5"/>
    <n v="1"/>
    <n v="4"/>
    <n v="5"/>
    <n v="223.6"/>
    <x v="2"/>
    <m/>
    <n v="557.6865165165168"/>
    <x v="0"/>
    <n v="1.9139139139139139"/>
    <n v="557.6865165165168"/>
  </r>
  <r>
    <x v="451"/>
    <d v="2022-07-21T00:00:00"/>
    <x v="8"/>
    <x v="1"/>
    <x v="1"/>
    <x v="2"/>
    <x v="2"/>
    <x v="2"/>
    <x v="3"/>
    <x v="1"/>
    <x v="0"/>
    <n v="5"/>
    <n v="3"/>
    <n v="4"/>
    <n v="4"/>
    <n v="283.29000000000002"/>
    <x v="46"/>
    <m/>
    <n v="557.6865165165168"/>
    <x v="0"/>
    <n v="1.9139139139139139"/>
    <n v="557.6865165165168"/>
  </r>
  <r>
    <x v="452"/>
    <d v="2022-11-04T00:00:00"/>
    <x v="1"/>
    <x v="0"/>
    <x v="0"/>
    <x v="0"/>
    <x v="2"/>
    <x v="4"/>
    <x v="0"/>
    <x v="1"/>
    <x v="0"/>
    <n v="1"/>
    <n v="3"/>
    <n v="1"/>
    <n v="2"/>
    <n v="935.28"/>
    <x v="33"/>
    <m/>
    <n v="557.6865165165168"/>
    <x v="0"/>
    <n v="1.9139139139139139"/>
    <n v="557.6865165165168"/>
  </r>
  <r>
    <x v="453"/>
    <d v="2020-04-20T00:00:00"/>
    <x v="4"/>
    <x v="0"/>
    <x v="2"/>
    <x v="2"/>
    <x v="2"/>
    <x v="4"/>
    <x v="0"/>
    <x v="0"/>
    <x v="0"/>
    <n v="1"/>
    <n v="1"/>
    <n v="1"/>
    <n v="2"/>
    <n v="892.83"/>
    <x v="60"/>
    <m/>
    <n v="557.6865165165168"/>
    <x v="0"/>
    <n v="1.9139139139139139"/>
    <n v="557.6865165165168"/>
  </r>
  <r>
    <x v="454"/>
    <d v="2019-09-05T00:00:00"/>
    <x v="0"/>
    <x v="0"/>
    <x v="2"/>
    <x v="1"/>
    <x v="2"/>
    <x v="3"/>
    <x v="6"/>
    <x v="1"/>
    <x v="0"/>
    <n v="5"/>
    <n v="2"/>
    <n v="4"/>
    <n v="4"/>
    <n v="318.19"/>
    <x v="2"/>
    <m/>
    <n v="557.6865165165168"/>
    <x v="0"/>
    <n v="1.9139139139139139"/>
    <n v="557.6865165165168"/>
  </r>
  <r>
    <x v="455"/>
    <d v="2019-08-11T00:00:00"/>
    <x v="1"/>
    <x v="0"/>
    <x v="0"/>
    <x v="2"/>
    <x v="2"/>
    <x v="3"/>
    <x v="0"/>
    <x v="1"/>
    <x v="0"/>
    <n v="5"/>
    <n v="4"/>
    <n v="3"/>
    <n v="5"/>
    <n v="305.31"/>
    <x v="34"/>
    <m/>
    <n v="557.6865165165168"/>
    <x v="0"/>
    <n v="1.9139139139139139"/>
    <n v="557.6865165165168"/>
  </r>
  <r>
    <x v="456"/>
    <d v="2018-11-04T00:00:00"/>
    <x v="4"/>
    <x v="0"/>
    <x v="1"/>
    <x v="2"/>
    <x v="2"/>
    <x v="4"/>
    <x v="0"/>
    <x v="1"/>
    <x v="0"/>
    <n v="2"/>
    <n v="3"/>
    <n v="3"/>
    <n v="5"/>
    <n v="756.43"/>
    <x v="29"/>
    <m/>
    <n v="557.6865165165168"/>
    <x v="0"/>
    <n v="1.9139139139139139"/>
    <n v="557.6865165165168"/>
  </r>
  <r>
    <x v="457"/>
    <d v="2018-11-04T00:00:00"/>
    <x v="9"/>
    <x v="1"/>
    <x v="0"/>
    <x v="2"/>
    <x v="2"/>
    <x v="14"/>
    <x v="0"/>
    <x v="0"/>
    <x v="3"/>
    <n v="3"/>
    <n v="4"/>
    <n v="1"/>
    <n v="5"/>
    <n v="940.22"/>
    <x v="14"/>
    <m/>
    <n v="557.6865165165168"/>
    <x v="0"/>
    <n v="1.9139139139139139"/>
    <n v="557.6865165165168"/>
  </r>
  <r>
    <x v="458"/>
    <d v="2019-07-27T00:00:00"/>
    <x v="6"/>
    <x v="1"/>
    <x v="2"/>
    <x v="1"/>
    <x v="2"/>
    <x v="5"/>
    <x v="0"/>
    <x v="1"/>
    <x v="0"/>
    <n v="5"/>
    <n v="2"/>
    <n v="2"/>
    <n v="3"/>
    <n v="282.37"/>
    <x v="40"/>
    <m/>
    <n v="557.6865165165168"/>
    <x v="0"/>
    <n v="1.9139139139139139"/>
    <n v="557.6865165165168"/>
  </r>
  <r>
    <x v="459"/>
    <d v="2020-12-21T00:00:00"/>
    <x v="7"/>
    <x v="0"/>
    <x v="1"/>
    <x v="1"/>
    <x v="2"/>
    <x v="2"/>
    <x v="0"/>
    <x v="0"/>
    <x v="0"/>
    <n v="5"/>
    <n v="3"/>
    <n v="4"/>
    <n v="1"/>
    <n v="627.14"/>
    <x v="3"/>
    <m/>
    <n v="557.6865165165168"/>
    <x v="0"/>
    <n v="1.9139139139139139"/>
    <n v="557.6865165165168"/>
  </r>
  <r>
    <x v="460"/>
    <d v="2022-07-25T00:00:00"/>
    <x v="8"/>
    <x v="0"/>
    <x v="1"/>
    <x v="0"/>
    <x v="2"/>
    <x v="6"/>
    <x v="0"/>
    <x v="0"/>
    <x v="3"/>
    <n v="4"/>
    <n v="4"/>
    <n v="2"/>
    <n v="2"/>
    <n v="864.5"/>
    <x v="46"/>
    <m/>
    <n v="557.6865165165168"/>
    <x v="0"/>
    <n v="1.9139139139139139"/>
    <n v="557.6865165165168"/>
  </r>
  <r>
    <x v="461"/>
    <d v="2019-06-15T00:00:00"/>
    <x v="6"/>
    <x v="0"/>
    <x v="0"/>
    <x v="1"/>
    <x v="2"/>
    <x v="12"/>
    <x v="0"/>
    <x v="0"/>
    <x v="0"/>
    <n v="1"/>
    <n v="3"/>
    <n v="4"/>
    <n v="4"/>
    <n v="981.64"/>
    <x v="47"/>
    <m/>
    <n v="557.6865165165168"/>
    <x v="0"/>
    <n v="1.9139139139139139"/>
    <n v="557.6865165165168"/>
  </r>
  <r>
    <x v="462"/>
    <d v="2020-04-04T00:00:00"/>
    <x v="1"/>
    <x v="1"/>
    <x v="1"/>
    <x v="2"/>
    <x v="2"/>
    <x v="4"/>
    <x v="0"/>
    <x v="0"/>
    <x v="0"/>
    <n v="4"/>
    <n v="3"/>
    <n v="1"/>
    <n v="3"/>
    <n v="456.02"/>
    <x v="46"/>
    <m/>
    <n v="557.6865165165168"/>
    <x v="0"/>
    <n v="1.9139139139139139"/>
    <n v="557.6865165165168"/>
  </r>
  <r>
    <x v="463"/>
    <d v="2023-02-03T00:00:00"/>
    <x v="8"/>
    <x v="1"/>
    <x v="0"/>
    <x v="0"/>
    <x v="2"/>
    <x v="1"/>
    <x v="0"/>
    <x v="1"/>
    <x v="0"/>
    <n v="4"/>
    <n v="4"/>
    <n v="2"/>
    <n v="5"/>
    <n v="350.68"/>
    <x v="5"/>
    <m/>
    <n v="557.6865165165168"/>
    <x v="0"/>
    <n v="1.9139139139139139"/>
    <n v="557.6865165165168"/>
  </r>
  <r>
    <x v="464"/>
    <d v="2023-07-12T00:00:00"/>
    <x v="0"/>
    <x v="0"/>
    <x v="1"/>
    <x v="1"/>
    <x v="2"/>
    <x v="10"/>
    <x v="0"/>
    <x v="0"/>
    <x v="0"/>
    <n v="2"/>
    <n v="3"/>
    <n v="5"/>
    <n v="2"/>
    <n v="119.24"/>
    <x v="48"/>
    <m/>
    <n v="557.6865165165168"/>
    <x v="0"/>
    <n v="1.9139139139139139"/>
    <n v="557.6865165165168"/>
  </r>
  <r>
    <x v="465"/>
    <d v="2021-04-25T00:00:00"/>
    <x v="8"/>
    <x v="1"/>
    <x v="0"/>
    <x v="1"/>
    <x v="2"/>
    <x v="13"/>
    <x v="0"/>
    <x v="0"/>
    <x v="0"/>
    <n v="4"/>
    <n v="1"/>
    <n v="3"/>
    <n v="5"/>
    <n v="532.41"/>
    <x v="35"/>
    <m/>
    <n v="557.6865165165168"/>
    <x v="0"/>
    <n v="1.9139139139139139"/>
    <n v="557.6865165165168"/>
  </r>
  <r>
    <x v="466"/>
    <d v="2021-03-13T00:00:00"/>
    <x v="1"/>
    <x v="0"/>
    <x v="1"/>
    <x v="1"/>
    <x v="2"/>
    <x v="0"/>
    <x v="0"/>
    <x v="1"/>
    <x v="0"/>
    <n v="1"/>
    <n v="4"/>
    <n v="1"/>
    <n v="5"/>
    <n v="625.95000000000005"/>
    <x v="4"/>
    <m/>
    <n v="557.6865165165168"/>
    <x v="0"/>
    <n v="1.9139139139139139"/>
    <n v="557.6865165165168"/>
  </r>
  <r>
    <x v="467"/>
    <d v="2021-08-16T00:00:00"/>
    <x v="4"/>
    <x v="0"/>
    <x v="1"/>
    <x v="2"/>
    <x v="2"/>
    <x v="5"/>
    <x v="0"/>
    <x v="0"/>
    <x v="0"/>
    <n v="3"/>
    <n v="4"/>
    <n v="4"/>
    <n v="2"/>
    <n v="779.08"/>
    <x v="56"/>
    <m/>
    <n v="557.6865165165168"/>
    <x v="0"/>
    <n v="1.9139139139139139"/>
    <n v="557.6865165165168"/>
  </r>
  <r>
    <x v="468"/>
    <d v="2021-10-18T00:00:00"/>
    <x v="0"/>
    <x v="0"/>
    <x v="1"/>
    <x v="2"/>
    <x v="2"/>
    <x v="3"/>
    <x v="0"/>
    <x v="0"/>
    <x v="0"/>
    <n v="5"/>
    <n v="1"/>
    <n v="5"/>
    <n v="1"/>
    <n v="497.09"/>
    <x v="20"/>
    <m/>
    <n v="557.6865165165168"/>
    <x v="0"/>
    <n v="1.9139139139139139"/>
    <n v="557.6865165165168"/>
  </r>
  <r>
    <x v="469"/>
    <d v="2020-02-16T00:00:00"/>
    <x v="7"/>
    <x v="0"/>
    <x v="0"/>
    <x v="0"/>
    <x v="2"/>
    <x v="9"/>
    <x v="0"/>
    <x v="0"/>
    <x v="0"/>
    <n v="2"/>
    <n v="1"/>
    <n v="1"/>
    <n v="1"/>
    <n v="762.36"/>
    <x v="23"/>
    <m/>
    <n v="557.6865165165168"/>
    <x v="0"/>
    <n v="1.9139139139139139"/>
    <n v="557.6865165165168"/>
  </r>
  <r>
    <x v="470"/>
    <d v="2019-08-07T00:00:00"/>
    <x v="1"/>
    <x v="0"/>
    <x v="0"/>
    <x v="1"/>
    <x v="2"/>
    <x v="2"/>
    <x v="6"/>
    <x v="0"/>
    <x v="0"/>
    <n v="4"/>
    <n v="5"/>
    <n v="2"/>
    <n v="4"/>
    <n v="611.15"/>
    <x v="23"/>
    <m/>
    <n v="557.6865165165168"/>
    <x v="0"/>
    <n v="1.9139139139139139"/>
    <n v="557.6865165165168"/>
  </r>
  <r>
    <x v="471"/>
    <d v="2022-01-03T00:00:00"/>
    <x v="8"/>
    <x v="0"/>
    <x v="0"/>
    <x v="0"/>
    <x v="2"/>
    <x v="4"/>
    <x v="6"/>
    <x v="0"/>
    <x v="0"/>
    <n v="3"/>
    <n v="2"/>
    <n v="4"/>
    <n v="3"/>
    <n v="724.95"/>
    <x v="44"/>
    <m/>
    <n v="557.6865165165168"/>
    <x v="0"/>
    <n v="1.9139139139139139"/>
    <n v="557.6865165165168"/>
  </r>
  <r>
    <x v="472"/>
    <d v="2020-09-22T00:00:00"/>
    <x v="3"/>
    <x v="0"/>
    <x v="2"/>
    <x v="0"/>
    <x v="2"/>
    <x v="4"/>
    <x v="6"/>
    <x v="0"/>
    <x v="3"/>
    <n v="5"/>
    <n v="3"/>
    <n v="1"/>
    <n v="5"/>
    <n v="332.9"/>
    <x v="51"/>
    <m/>
    <n v="557.6865165165168"/>
    <x v="0"/>
    <n v="1.9139139139139139"/>
    <n v="557.6865165165168"/>
  </r>
  <r>
    <x v="473"/>
    <d v="2022-11-11T00:00:00"/>
    <x v="9"/>
    <x v="1"/>
    <x v="2"/>
    <x v="1"/>
    <x v="2"/>
    <x v="3"/>
    <x v="6"/>
    <x v="1"/>
    <x v="0"/>
    <n v="5"/>
    <n v="4"/>
    <n v="5"/>
    <n v="5"/>
    <n v="116.9"/>
    <x v="48"/>
    <m/>
    <n v="557.6865165165168"/>
    <x v="0"/>
    <n v="1.9139139139139139"/>
    <n v="557.6865165165168"/>
  </r>
  <r>
    <x v="474"/>
    <d v="2018-08-11T00:00:00"/>
    <x v="5"/>
    <x v="0"/>
    <x v="2"/>
    <x v="1"/>
    <x v="2"/>
    <x v="4"/>
    <x v="6"/>
    <x v="1"/>
    <x v="0"/>
    <n v="3"/>
    <n v="4"/>
    <n v="1"/>
    <n v="1"/>
    <n v="430.46"/>
    <x v="4"/>
    <m/>
    <n v="557.6865165165168"/>
    <x v="0"/>
    <n v="1.9139139139139139"/>
    <n v="557.6865165165168"/>
  </r>
  <r>
    <x v="475"/>
    <d v="2023-03-31T00:00:00"/>
    <x v="6"/>
    <x v="0"/>
    <x v="1"/>
    <x v="1"/>
    <x v="2"/>
    <x v="1"/>
    <x v="0"/>
    <x v="1"/>
    <x v="0"/>
    <n v="2"/>
    <n v="5"/>
    <n v="2"/>
    <n v="5"/>
    <n v="881.61"/>
    <x v="54"/>
    <m/>
    <n v="557.6865165165168"/>
    <x v="0"/>
    <n v="1.9139139139139139"/>
    <n v="557.6865165165168"/>
  </r>
  <r>
    <x v="476"/>
    <d v="2021-03-10T00:00:00"/>
    <x v="8"/>
    <x v="0"/>
    <x v="0"/>
    <x v="2"/>
    <x v="2"/>
    <x v="1"/>
    <x v="0"/>
    <x v="0"/>
    <x v="0"/>
    <n v="4"/>
    <n v="3"/>
    <n v="3"/>
    <n v="3"/>
    <n v="454.92"/>
    <x v="44"/>
    <m/>
    <n v="557.6865165165168"/>
    <x v="0"/>
    <n v="1.9139139139139139"/>
    <n v="557.6865165165168"/>
  </r>
  <r>
    <x v="477"/>
    <d v="2019-08-30T00:00:00"/>
    <x v="3"/>
    <x v="0"/>
    <x v="2"/>
    <x v="2"/>
    <x v="2"/>
    <x v="4"/>
    <x v="0"/>
    <x v="0"/>
    <x v="0"/>
    <n v="4"/>
    <n v="1"/>
    <n v="5"/>
    <n v="2"/>
    <n v="381.88"/>
    <x v="30"/>
    <m/>
    <n v="557.6865165165168"/>
    <x v="0"/>
    <n v="1.9139139139139139"/>
    <n v="557.6865165165168"/>
  </r>
  <r>
    <x v="478"/>
    <d v="2020-04-22T00:00:00"/>
    <x v="5"/>
    <x v="0"/>
    <x v="0"/>
    <x v="2"/>
    <x v="2"/>
    <x v="3"/>
    <x v="0"/>
    <x v="0"/>
    <x v="0"/>
    <n v="4"/>
    <n v="1"/>
    <n v="2"/>
    <n v="4"/>
    <n v="198.58"/>
    <x v="23"/>
    <m/>
    <n v="557.6865165165168"/>
    <x v="0"/>
    <n v="1.9139139139139139"/>
    <n v="557.6865165165168"/>
  </r>
  <r>
    <x v="479"/>
    <d v="2018-12-03T00:00:00"/>
    <x v="8"/>
    <x v="0"/>
    <x v="1"/>
    <x v="1"/>
    <x v="2"/>
    <x v="0"/>
    <x v="0"/>
    <x v="0"/>
    <x v="0"/>
    <n v="5"/>
    <n v="3"/>
    <n v="4"/>
    <n v="4"/>
    <n v="683.96"/>
    <x v="6"/>
    <m/>
    <n v="557.6865165165168"/>
    <x v="0"/>
    <n v="1.9139139139139139"/>
    <n v="557.6865165165168"/>
  </r>
  <r>
    <x v="480"/>
    <d v="2021-02-20T00:00:00"/>
    <x v="6"/>
    <x v="0"/>
    <x v="0"/>
    <x v="2"/>
    <x v="2"/>
    <x v="6"/>
    <x v="0"/>
    <x v="0"/>
    <x v="0"/>
    <n v="5"/>
    <n v="5"/>
    <n v="1"/>
    <n v="3"/>
    <n v="891.63"/>
    <x v="57"/>
    <m/>
    <n v="557.6865165165168"/>
    <x v="0"/>
    <n v="1.9139139139139139"/>
    <n v="557.6865165165168"/>
  </r>
  <r>
    <x v="481"/>
    <d v="2021-01-17T00:00:00"/>
    <x v="2"/>
    <x v="0"/>
    <x v="0"/>
    <x v="1"/>
    <x v="2"/>
    <x v="1"/>
    <x v="0"/>
    <x v="0"/>
    <x v="1"/>
    <n v="4"/>
    <n v="5"/>
    <n v="2"/>
    <n v="4"/>
    <n v="701.87"/>
    <x v="31"/>
    <m/>
    <n v="557.6865165165168"/>
    <x v="0"/>
    <n v="1.9139139139139139"/>
    <n v="557.6865165165168"/>
  </r>
  <r>
    <x v="482"/>
    <d v="2020-10-04T00:00:00"/>
    <x v="9"/>
    <x v="0"/>
    <x v="2"/>
    <x v="2"/>
    <x v="2"/>
    <x v="4"/>
    <x v="0"/>
    <x v="0"/>
    <x v="1"/>
    <n v="5"/>
    <n v="1"/>
    <n v="5"/>
    <n v="4"/>
    <n v="216.73"/>
    <x v="10"/>
    <m/>
    <n v="557.6865165165168"/>
    <x v="0"/>
    <n v="1.9139139139139139"/>
    <n v="557.6865165165168"/>
  </r>
  <r>
    <x v="483"/>
    <d v="2021-01-29T00:00:00"/>
    <x v="7"/>
    <x v="0"/>
    <x v="2"/>
    <x v="1"/>
    <x v="2"/>
    <x v="3"/>
    <x v="6"/>
    <x v="0"/>
    <x v="0"/>
    <n v="3"/>
    <n v="3"/>
    <n v="2"/>
    <n v="5"/>
    <n v="482.47"/>
    <x v="6"/>
    <m/>
    <n v="557.6865165165168"/>
    <x v="0"/>
    <n v="1.9139139139139139"/>
    <n v="557.6865165165168"/>
  </r>
  <r>
    <x v="484"/>
    <d v="2022-07-26T00:00:00"/>
    <x v="3"/>
    <x v="0"/>
    <x v="2"/>
    <x v="2"/>
    <x v="2"/>
    <x v="3"/>
    <x v="6"/>
    <x v="0"/>
    <x v="0"/>
    <n v="5"/>
    <n v="4"/>
    <n v="1"/>
    <n v="5"/>
    <n v="853.57"/>
    <x v="14"/>
    <m/>
    <n v="557.6865165165168"/>
    <x v="0"/>
    <n v="1.9139139139139139"/>
    <n v="557.6865165165168"/>
  </r>
  <r>
    <x v="485"/>
    <d v="2018-09-21T00:00:00"/>
    <x v="5"/>
    <x v="1"/>
    <x v="2"/>
    <x v="0"/>
    <x v="2"/>
    <x v="4"/>
    <x v="6"/>
    <x v="0"/>
    <x v="1"/>
    <n v="3"/>
    <n v="2"/>
    <n v="1"/>
    <n v="1"/>
    <n v="202.97"/>
    <x v="54"/>
    <m/>
    <n v="557.6865165165168"/>
    <x v="0"/>
    <n v="1.9139139139139139"/>
    <n v="557.6865165165168"/>
  </r>
  <r>
    <x v="486"/>
    <d v="2018-12-25T00:00:00"/>
    <x v="4"/>
    <x v="1"/>
    <x v="2"/>
    <x v="0"/>
    <x v="2"/>
    <x v="5"/>
    <x v="6"/>
    <x v="1"/>
    <x v="1"/>
    <n v="4"/>
    <n v="5"/>
    <n v="1"/>
    <n v="1"/>
    <n v="487.4"/>
    <x v="37"/>
    <m/>
    <n v="557.6865165165168"/>
    <x v="0"/>
    <n v="1.9139139139139139"/>
    <n v="557.6865165165168"/>
  </r>
  <r>
    <x v="487"/>
    <d v="2020-11-03T00:00:00"/>
    <x v="0"/>
    <x v="1"/>
    <x v="2"/>
    <x v="2"/>
    <x v="2"/>
    <x v="4"/>
    <x v="6"/>
    <x v="1"/>
    <x v="0"/>
    <n v="1"/>
    <n v="4"/>
    <n v="3"/>
    <n v="2"/>
    <n v="669.81"/>
    <x v="30"/>
    <m/>
    <n v="557.6865165165168"/>
    <x v="0"/>
    <n v="1.9139139139139139"/>
    <n v="557.6865165165168"/>
  </r>
  <r>
    <x v="488"/>
    <d v="2021-10-22T00:00:00"/>
    <x v="8"/>
    <x v="0"/>
    <x v="1"/>
    <x v="0"/>
    <x v="2"/>
    <x v="4"/>
    <x v="0"/>
    <x v="0"/>
    <x v="0"/>
    <n v="4"/>
    <n v="5"/>
    <n v="1"/>
    <n v="1"/>
    <n v="645.02"/>
    <x v="13"/>
    <m/>
    <n v="557.6865165165168"/>
    <x v="0"/>
    <n v="1.9139139139139139"/>
    <n v="557.6865165165168"/>
  </r>
  <r>
    <x v="489"/>
    <d v="2018-08-27T00:00:00"/>
    <x v="3"/>
    <x v="0"/>
    <x v="1"/>
    <x v="1"/>
    <x v="2"/>
    <x v="13"/>
    <x v="0"/>
    <x v="0"/>
    <x v="0"/>
    <n v="1"/>
    <n v="5"/>
    <n v="4"/>
    <n v="2"/>
    <n v="157.4"/>
    <x v="20"/>
    <m/>
    <n v="557.6865165165168"/>
    <x v="0"/>
    <n v="1.9139139139139139"/>
    <n v="557.6865165165168"/>
  </r>
  <r>
    <x v="490"/>
    <d v="2020-07-12T00:00:00"/>
    <x v="9"/>
    <x v="0"/>
    <x v="2"/>
    <x v="2"/>
    <x v="2"/>
    <x v="3"/>
    <x v="0"/>
    <x v="1"/>
    <x v="0"/>
    <n v="4"/>
    <n v="3"/>
    <n v="5"/>
    <n v="1"/>
    <n v="131.97999999999999"/>
    <x v="21"/>
    <m/>
    <n v="557.6865165165168"/>
    <x v="0"/>
    <n v="1.9139139139139139"/>
    <n v="557.6865165165168"/>
  </r>
  <r>
    <x v="491"/>
    <d v="2020-05-11T00:00:00"/>
    <x v="2"/>
    <x v="0"/>
    <x v="1"/>
    <x v="0"/>
    <x v="2"/>
    <x v="9"/>
    <x v="0"/>
    <x v="0"/>
    <x v="1"/>
    <n v="4"/>
    <n v="2"/>
    <n v="5"/>
    <n v="1"/>
    <n v="695.56"/>
    <x v="54"/>
    <m/>
    <n v="557.6865165165168"/>
    <x v="0"/>
    <n v="1.9139139139139139"/>
    <n v="557.6865165165168"/>
  </r>
  <r>
    <x v="492"/>
    <d v="2020-07-24T00:00:00"/>
    <x v="4"/>
    <x v="0"/>
    <x v="1"/>
    <x v="1"/>
    <x v="2"/>
    <x v="4"/>
    <x v="0"/>
    <x v="0"/>
    <x v="0"/>
    <n v="1"/>
    <n v="2"/>
    <n v="4"/>
    <n v="2"/>
    <n v="869.96"/>
    <x v="35"/>
    <m/>
    <n v="557.6865165165168"/>
    <x v="0"/>
    <n v="1.9139139139139139"/>
    <n v="557.6865165165168"/>
  </r>
  <r>
    <x v="493"/>
    <d v="2022-08-09T00:00:00"/>
    <x v="0"/>
    <x v="0"/>
    <x v="2"/>
    <x v="2"/>
    <x v="2"/>
    <x v="1"/>
    <x v="0"/>
    <x v="0"/>
    <x v="2"/>
    <n v="1"/>
    <n v="1"/>
    <n v="1"/>
    <n v="1"/>
    <n v="189.91"/>
    <x v="60"/>
    <m/>
    <n v="557.6865165165168"/>
    <x v="0"/>
    <n v="1.9139139139139139"/>
    <n v="557.6865165165168"/>
  </r>
  <r>
    <x v="494"/>
    <d v="2022-06-12T00:00:00"/>
    <x v="7"/>
    <x v="0"/>
    <x v="1"/>
    <x v="1"/>
    <x v="2"/>
    <x v="4"/>
    <x v="0"/>
    <x v="0"/>
    <x v="1"/>
    <n v="4"/>
    <n v="3"/>
    <n v="1"/>
    <n v="5"/>
    <n v="407.96"/>
    <x v="1"/>
    <m/>
    <n v="557.6865165165168"/>
    <x v="0"/>
    <n v="1.9139139139139139"/>
    <n v="557.6865165165168"/>
  </r>
  <r>
    <x v="495"/>
    <d v="2022-02-10T00:00:00"/>
    <x v="1"/>
    <x v="0"/>
    <x v="0"/>
    <x v="2"/>
    <x v="2"/>
    <x v="13"/>
    <x v="6"/>
    <x v="0"/>
    <x v="0"/>
    <n v="5"/>
    <n v="5"/>
    <n v="4"/>
    <n v="1"/>
    <n v="202.91"/>
    <x v="9"/>
    <m/>
    <n v="557.6865165165168"/>
    <x v="0"/>
    <n v="1.9139139139139139"/>
    <n v="557.6865165165168"/>
  </r>
  <r>
    <x v="496"/>
    <d v="2023-01-13T00:00:00"/>
    <x v="8"/>
    <x v="1"/>
    <x v="2"/>
    <x v="1"/>
    <x v="2"/>
    <x v="16"/>
    <x v="6"/>
    <x v="1"/>
    <x v="0"/>
    <n v="5"/>
    <n v="4"/>
    <n v="2"/>
    <n v="4"/>
    <n v="956.95"/>
    <x v="44"/>
    <m/>
    <n v="557.6865165165168"/>
    <x v="0"/>
    <n v="1.9139139139139139"/>
    <n v="557.6865165165168"/>
  </r>
  <r>
    <x v="497"/>
    <d v="2020-03-10T00:00:00"/>
    <x v="3"/>
    <x v="0"/>
    <x v="2"/>
    <x v="1"/>
    <x v="2"/>
    <x v="14"/>
    <x v="6"/>
    <x v="0"/>
    <x v="0"/>
    <n v="4"/>
    <n v="3"/>
    <n v="2"/>
    <n v="5"/>
    <n v="813.03"/>
    <x v="40"/>
    <m/>
    <n v="557.6865165165168"/>
    <x v="0"/>
    <n v="1.9139139139139139"/>
    <n v="557.6865165165168"/>
  </r>
  <r>
    <x v="498"/>
    <d v="2022-02-25T00:00:00"/>
    <x v="9"/>
    <x v="1"/>
    <x v="1"/>
    <x v="1"/>
    <x v="2"/>
    <x v="14"/>
    <x v="6"/>
    <x v="1"/>
    <x v="1"/>
    <n v="5"/>
    <n v="4"/>
    <n v="1"/>
    <n v="1"/>
    <n v="962.54"/>
    <x v="21"/>
    <m/>
    <n v="557.6865165165168"/>
    <x v="0"/>
    <n v="1.9139139139139139"/>
    <n v="557.6865165165168"/>
  </r>
  <r>
    <x v="499"/>
    <d v="2022-07-11T00:00:00"/>
    <x v="3"/>
    <x v="0"/>
    <x v="1"/>
    <x v="0"/>
    <x v="2"/>
    <x v="3"/>
    <x v="0"/>
    <x v="0"/>
    <x v="0"/>
    <n v="2"/>
    <n v="1"/>
    <n v="1"/>
    <n v="5"/>
    <n v="866.51"/>
    <x v="10"/>
    <m/>
    <n v="557.6865165165168"/>
    <x v="0"/>
    <n v="1.9139139139139139"/>
    <n v="557.6865165165168"/>
  </r>
  <r>
    <x v="500"/>
    <d v="2023-04-10T00:00:00"/>
    <x v="4"/>
    <x v="0"/>
    <x v="0"/>
    <x v="2"/>
    <x v="2"/>
    <x v="9"/>
    <x v="0"/>
    <x v="1"/>
    <x v="0"/>
    <n v="2"/>
    <n v="3"/>
    <n v="2"/>
    <n v="4"/>
    <n v="716.52"/>
    <x v="53"/>
    <m/>
    <n v="557.6865165165168"/>
    <x v="0"/>
    <n v="1.9139139139139139"/>
    <n v="557.6865165165168"/>
  </r>
  <r>
    <x v="501"/>
    <d v="2022-12-08T00:00:00"/>
    <x v="7"/>
    <x v="0"/>
    <x v="2"/>
    <x v="1"/>
    <x v="2"/>
    <x v="5"/>
    <x v="0"/>
    <x v="1"/>
    <x v="0"/>
    <n v="4"/>
    <n v="3"/>
    <n v="1"/>
    <n v="3"/>
    <n v="323.25"/>
    <x v="34"/>
    <m/>
    <n v="557.6865165165168"/>
    <x v="0"/>
    <n v="1.9139139139139139"/>
    <n v="557.6865165165168"/>
  </r>
  <r>
    <x v="502"/>
    <d v="2022-06-22T00:00:00"/>
    <x v="9"/>
    <x v="0"/>
    <x v="0"/>
    <x v="0"/>
    <x v="2"/>
    <x v="4"/>
    <x v="0"/>
    <x v="0"/>
    <x v="0"/>
    <n v="3"/>
    <n v="4"/>
    <n v="4"/>
    <n v="2"/>
    <n v="229"/>
    <x v="18"/>
    <m/>
    <n v="557.6865165165168"/>
    <x v="0"/>
    <n v="1.9139139139139139"/>
    <n v="557.6865165165168"/>
  </r>
  <r>
    <x v="503"/>
    <d v="2022-09-22T00:00:00"/>
    <x v="2"/>
    <x v="0"/>
    <x v="1"/>
    <x v="1"/>
    <x v="2"/>
    <x v="4"/>
    <x v="0"/>
    <x v="0"/>
    <x v="0"/>
    <n v="3"/>
    <n v="5"/>
    <n v="2"/>
    <n v="1"/>
    <n v="861.91"/>
    <x v="41"/>
    <m/>
    <n v="557.6865165165168"/>
    <x v="0"/>
    <n v="1.9139139139139139"/>
    <n v="557.6865165165168"/>
  </r>
  <r>
    <x v="504"/>
    <d v="2019-07-15T00:00:00"/>
    <x v="6"/>
    <x v="0"/>
    <x v="1"/>
    <x v="1"/>
    <x v="2"/>
    <x v="13"/>
    <x v="0"/>
    <x v="0"/>
    <x v="1"/>
    <n v="4"/>
    <n v="5"/>
    <n v="2"/>
    <n v="3"/>
    <n v="803.73"/>
    <x v="8"/>
    <m/>
    <n v="557.6865165165168"/>
    <x v="0"/>
    <n v="1.9139139139139139"/>
    <n v="557.6865165165168"/>
  </r>
  <r>
    <x v="505"/>
    <d v="2021-09-01T00:00:00"/>
    <x v="8"/>
    <x v="0"/>
    <x v="2"/>
    <x v="0"/>
    <x v="2"/>
    <x v="14"/>
    <x v="0"/>
    <x v="0"/>
    <x v="0"/>
    <n v="3"/>
    <n v="5"/>
    <n v="1"/>
    <n v="2"/>
    <n v="808.51"/>
    <x v="23"/>
    <m/>
    <n v="557.6865165165168"/>
    <x v="0"/>
    <n v="1.9139139139139139"/>
    <n v="557.6865165165168"/>
  </r>
  <r>
    <x v="506"/>
    <d v="2019-07-16T00:00:00"/>
    <x v="1"/>
    <x v="0"/>
    <x v="0"/>
    <x v="1"/>
    <x v="2"/>
    <x v="6"/>
    <x v="6"/>
    <x v="1"/>
    <x v="2"/>
    <n v="2"/>
    <n v="4"/>
    <n v="1"/>
    <n v="4"/>
    <n v="629.16"/>
    <x v="8"/>
    <m/>
    <n v="557.6865165165168"/>
    <x v="0"/>
    <n v="1.9139139139139139"/>
    <n v="557.6865165165168"/>
  </r>
  <r>
    <x v="507"/>
    <d v="2021-12-24T00:00:00"/>
    <x v="0"/>
    <x v="1"/>
    <x v="1"/>
    <x v="2"/>
    <x v="2"/>
    <x v="17"/>
    <x v="6"/>
    <x v="0"/>
    <x v="0"/>
    <n v="5"/>
    <n v="5"/>
    <n v="2"/>
    <n v="1"/>
    <n v="994.09"/>
    <x v="0"/>
    <m/>
    <n v="557.6865165165168"/>
    <x v="0"/>
    <n v="1.9139139139139139"/>
    <n v="557.6865165165168"/>
  </r>
  <r>
    <x v="508"/>
    <d v="2019-04-17T00:00:00"/>
    <x v="4"/>
    <x v="1"/>
    <x v="1"/>
    <x v="2"/>
    <x v="2"/>
    <x v="6"/>
    <x v="6"/>
    <x v="1"/>
    <x v="1"/>
    <n v="5"/>
    <n v="4"/>
    <n v="2"/>
    <n v="5"/>
    <n v="477.78"/>
    <x v="25"/>
    <m/>
    <n v="557.6865165165168"/>
    <x v="0"/>
    <n v="1.9139139139139139"/>
    <n v="557.6865165165168"/>
  </r>
  <r>
    <x v="509"/>
    <d v="2019-10-26T00:00:00"/>
    <x v="9"/>
    <x v="1"/>
    <x v="0"/>
    <x v="0"/>
    <x v="2"/>
    <x v="4"/>
    <x v="6"/>
    <x v="1"/>
    <x v="0"/>
    <n v="3"/>
    <n v="2"/>
    <n v="1"/>
    <n v="4"/>
    <n v="951.27"/>
    <x v="9"/>
    <m/>
    <n v="557.6865165165168"/>
    <x v="0"/>
    <n v="1.9139139139139139"/>
    <n v="557.6865165165168"/>
  </r>
  <r>
    <x v="510"/>
    <d v="2019-08-29T00:00:00"/>
    <x v="4"/>
    <x v="0"/>
    <x v="2"/>
    <x v="1"/>
    <x v="4"/>
    <x v="6"/>
    <x v="0"/>
    <x v="0"/>
    <x v="0"/>
    <n v="2"/>
    <n v="5"/>
    <n v="5"/>
    <n v="4"/>
    <n v="510.83"/>
    <x v="47"/>
    <m/>
    <n v="557.6865165165168"/>
    <x v="0"/>
    <n v="1.9139139139139139"/>
    <n v="557.6865165165168"/>
  </r>
  <r>
    <x v="511"/>
    <d v="2022-12-12T00:00:00"/>
    <x v="6"/>
    <x v="0"/>
    <x v="2"/>
    <x v="1"/>
    <x v="4"/>
    <x v="14"/>
    <x v="0"/>
    <x v="0"/>
    <x v="0"/>
    <n v="4"/>
    <n v="5"/>
    <n v="3"/>
    <n v="2"/>
    <n v="582.37"/>
    <x v="61"/>
    <m/>
    <n v="557.6865165165168"/>
    <x v="0"/>
    <n v="1.9139139139139139"/>
    <n v="557.6865165165168"/>
  </r>
  <r>
    <x v="512"/>
    <d v="2023-03-08T00:00:00"/>
    <x v="5"/>
    <x v="0"/>
    <x v="0"/>
    <x v="1"/>
    <x v="4"/>
    <x v="4"/>
    <x v="0"/>
    <x v="0"/>
    <x v="0"/>
    <n v="2"/>
    <n v="5"/>
    <n v="2"/>
    <n v="4"/>
    <n v="777.06"/>
    <x v="0"/>
    <m/>
    <n v="557.6865165165168"/>
    <x v="0"/>
    <n v="1.9139139139139139"/>
    <n v="557.6865165165168"/>
  </r>
  <r>
    <x v="513"/>
    <d v="2020-05-29T00:00:00"/>
    <x v="9"/>
    <x v="0"/>
    <x v="2"/>
    <x v="0"/>
    <x v="4"/>
    <x v="9"/>
    <x v="0"/>
    <x v="1"/>
    <x v="0"/>
    <n v="3"/>
    <n v="5"/>
    <n v="3"/>
    <n v="2"/>
    <n v="824.3"/>
    <x v="6"/>
    <m/>
    <n v="557.6865165165168"/>
    <x v="0"/>
    <n v="1.9139139139139139"/>
    <n v="557.6865165165168"/>
  </r>
  <r>
    <x v="514"/>
    <d v="2022-09-16T00:00:00"/>
    <x v="7"/>
    <x v="0"/>
    <x v="1"/>
    <x v="2"/>
    <x v="4"/>
    <x v="4"/>
    <x v="0"/>
    <x v="1"/>
    <x v="0"/>
    <n v="2"/>
    <n v="4"/>
    <n v="5"/>
    <n v="4"/>
    <n v="145.99"/>
    <x v="22"/>
    <m/>
    <n v="557.6865165165168"/>
    <x v="0"/>
    <n v="1.9139139139139139"/>
    <n v="557.6865165165168"/>
  </r>
  <r>
    <x v="515"/>
    <d v="2021-08-15T00:00:00"/>
    <x v="8"/>
    <x v="0"/>
    <x v="1"/>
    <x v="0"/>
    <x v="4"/>
    <x v="6"/>
    <x v="0"/>
    <x v="0"/>
    <x v="0"/>
    <n v="5"/>
    <n v="2"/>
    <n v="1"/>
    <n v="2"/>
    <n v="838.07"/>
    <x v="47"/>
    <m/>
    <n v="557.6865165165168"/>
    <x v="0"/>
    <n v="1.9139139139139139"/>
    <n v="557.6865165165168"/>
  </r>
  <r>
    <x v="516"/>
    <d v="2020-10-25T00:00:00"/>
    <x v="7"/>
    <x v="1"/>
    <x v="2"/>
    <x v="1"/>
    <x v="4"/>
    <x v="3"/>
    <x v="0"/>
    <x v="1"/>
    <x v="0"/>
    <n v="2"/>
    <n v="1"/>
    <n v="5"/>
    <n v="2"/>
    <n v="667.32"/>
    <x v="27"/>
    <m/>
    <n v="557.6865165165168"/>
    <x v="0"/>
    <n v="1.9139139139139139"/>
    <n v="557.6865165165168"/>
  </r>
  <r>
    <x v="517"/>
    <d v="2019-08-28T00:00:00"/>
    <x v="4"/>
    <x v="0"/>
    <x v="0"/>
    <x v="2"/>
    <x v="4"/>
    <x v="3"/>
    <x v="0"/>
    <x v="0"/>
    <x v="0"/>
    <n v="5"/>
    <n v="2"/>
    <n v="2"/>
    <n v="2"/>
    <n v="758.18"/>
    <x v="15"/>
    <m/>
    <n v="557.6865165165168"/>
    <x v="0"/>
    <n v="1.9139139139139139"/>
    <n v="557.6865165165168"/>
  </r>
  <r>
    <x v="518"/>
    <d v="2019-06-13T00:00:00"/>
    <x v="6"/>
    <x v="0"/>
    <x v="2"/>
    <x v="0"/>
    <x v="4"/>
    <x v="3"/>
    <x v="0"/>
    <x v="0"/>
    <x v="0"/>
    <n v="2"/>
    <n v="5"/>
    <n v="1"/>
    <n v="2"/>
    <n v="101.21"/>
    <x v="37"/>
    <m/>
    <n v="557.6865165165168"/>
    <x v="0"/>
    <n v="1.9139139139139139"/>
    <n v="557.6865165165168"/>
  </r>
  <r>
    <x v="519"/>
    <d v="2021-01-12T00:00:00"/>
    <x v="1"/>
    <x v="1"/>
    <x v="2"/>
    <x v="0"/>
    <x v="4"/>
    <x v="4"/>
    <x v="0"/>
    <x v="1"/>
    <x v="0"/>
    <n v="2"/>
    <n v="4"/>
    <n v="2"/>
    <n v="5"/>
    <n v="332.25"/>
    <x v="38"/>
    <m/>
    <n v="557.6865165165168"/>
    <x v="0"/>
    <n v="1.9139139139139139"/>
    <n v="557.6865165165168"/>
  </r>
  <r>
    <x v="520"/>
    <d v="2022-02-07T00:00:00"/>
    <x v="8"/>
    <x v="1"/>
    <x v="0"/>
    <x v="1"/>
    <x v="4"/>
    <x v="3"/>
    <x v="0"/>
    <x v="1"/>
    <x v="0"/>
    <n v="1"/>
    <n v="2"/>
    <n v="3"/>
    <n v="1"/>
    <n v="803.98"/>
    <x v="50"/>
    <m/>
    <n v="557.6865165165168"/>
    <x v="0"/>
    <n v="1.9139139139139139"/>
    <n v="557.6865165165168"/>
  </r>
  <r>
    <x v="521"/>
    <d v="2020-11-09T00:00:00"/>
    <x v="3"/>
    <x v="1"/>
    <x v="0"/>
    <x v="1"/>
    <x v="4"/>
    <x v="5"/>
    <x v="0"/>
    <x v="1"/>
    <x v="0"/>
    <n v="3"/>
    <n v="5"/>
    <n v="4"/>
    <n v="3"/>
    <n v="887.08"/>
    <x v="58"/>
    <m/>
    <n v="557.6865165165168"/>
    <x v="0"/>
    <n v="1.9139139139139139"/>
    <n v="557.6865165165168"/>
  </r>
  <r>
    <x v="522"/>
    <d v="2020-05-13T00:00:00"/>
    <x v="9"/>
    <x v="0"/>
    <x v="2"/>
    <x v="2"/>
    <x v="4"/>
    <x v="6"/>
    <x v="0"/>
    <x v="1"/>
    <x v="0"/>
    <n v="5"/>
    <n v="4"/>
    <n v="3"/>
    <n v="2"/>
    <n v="657.85"/>
    <x v="51"/>
    <m/>
    <n v="557.6865165165168"/>
    <x v="0"/>
    <n v="1.9139139139139139"/>
    <n v="557.6865165165168"/>
  </r>
  <r>
    <x v="523"/>
    <d v="2022-12-31T00:00:00"/>
    <x v="5"/>
    <x v="0"/>
    <x v="2"/>
    <x v="1"/>
    <x v="4"/>
    <x v="14"/>
    <x v="0"/>
    <x v="1"/>
    <x v="0"/>
    <n v="4"/>
    <n v="4"/>
    <n v="1"/>
    <n v="2"/>
    <n v="895.49"/>
    <x v="26"/>
    <m/>
    <n v="557.6865165165168"/>
    <x v="0"/>
    <n v="1.9139139139139139"/>
    <n v="557.6865165165168"/>
  </r>
  <r>
    <x v="524"/>
    <d v="2018-12-03T00:00:00"/>
    <x v="6"/>
    <x v="0"/>
    <x v="0"/>
    <x v="1"/>
    <x v="4"/>
    <x v="16"/>
    <x v="0"/>
    <x v="0"/>
    <x v="0"/>
    <n v="1"/>
    <n v="1"/>
    <n v="3"/>
    <n v="1"/>
    <n v="539"/>
    <x v="36"/>
    <m/>
    <n v="557.6865165165168"/>
    <x v="0"/>
    <n v="1.9139139139139139"/>
    <n v="557.6865165165168"/>
  </r>
  <r>
    <x v="525"/>
    <d v="2020-02-21T00:00:00"/>
    <x v="2"/>
    <x v="0"/>
    <x v="2"/>
    <x v="2"/>
    <x v="5"/>
    <x v="12"/>
    <x v="0"/>
    <x v="0"/>
    <x v="0"/>
    <n v="2"/>
    <n v="3"/>
    <n v="2"/>
    <n v="2"/>
    <n v="606.67999999999995"/>
    <x v="32"/>
    <m/>
    <n v="557.6865165165168"/>
    <x v="0"/>
    <n v="1.9139139139139139"/>
    <n v="557.6865165165168"/>
  </r>
  <r>
    <x v="526"/>
    <d v="2020-09-07T00:00:00"/>
    <x v="4"/>
    <x v="0"/>
    <x v="1"/>
    <x v="2"/>
    <x v="5"/>
    <x v="4"/>
    <x v="0"/>
    <x v="0"/>
    <x v="0"/>
    <n v="4"/>
    <n v="1"/>
    <n v="3"/>
    <n v="3"/>
    <n v="265.73"/>
    <x v="8"/>
    <m/>
    <n v="557.6865165165168"/>
    <x v="0"/>
    <n v="1.9139139139139139"/>
    <n v="557.6865165165168"/>
  </r>
  <r>
    <x v="527"/>
    <d v="2020-06-19T00:00:00"/>
    <x v="0"/>
    <x v="0"/>
    <x v="2"/>
    <x v="1"/>
    <x v="5"/>
    <x v="3"/>
    <x v="0"/>
    <x v="0"/>
    <x v="0"/>
    <n v="4"/>
    <n v="1"/>
    <n v="4"/>
    <n v="2"/>
    <n v="673.29"/>
    <x v="33"/>
    <m/>
    <n v="557.6865165165168"/>
    <x v="0"/>
    <n v="1.9139139139139139"/>
    <n v="557.6865165165168"/>
  </r>
  <r>
    <x v="528"/>
    <d v="2022-10-14T00:00:00"/>
    <x v="1"/>
    <x v="1"/>
    <x v="1"/>
    <x v="1"/>
    <x v="4"/>
    <x v="10"/>
    <x v="0"/>
    <x v="1"/>
    <x v="0"/>
    <n v="1"/>
    <n v="3"/>
    <n v="5"/>
    <n v="5"/>
    <n v="436.98"/>
    <x v="7"/>
    <m/>
    <n v="557.6865165165168"/>
    <x v="0"/>
    <n v="1.9139139139139139"/>
    <n v="557.6865165165168"/>
  </r>
  <r>
    <x v="529"/>
    <d v="2023-06-20T00:00:00"/>
    <x v="8"/>
    <x v="1"/>
    <x v="0"/>
    <x v="0"/>
    <x v="4"/>
    <x v="4"/>
    <x v="0"/>
    <x v="0"/>
    <x v="0"/>
    <n v="2"/>
    <n v="1"/>
    <n v="2"/>
    <n v="4"/>
    <n v="578.58000000000004"/>
    <x v="29"/>
    <m/>
    <n v="557.6865165165168"/>
    <x v="0"/>
    <n v="1.9139139139139139"/>
    <n v="557.6865165165168"/>
  </r>
  <r>
    <x v="530"/>
    <d v="2020-11-09T00:00:00"/>
    <x v="3"/>
    <x v="1"/>
    <x v="1"/>
    <x v="0"/>
    <x v="4"/>
    <x v="5"/>
    <x v="0"/>
    <x v="1"/>
    <x v="0"/>
    <n v="5"/>
    <n v="1"/>
    <n v="4"/>
    <n v="1"/>
    <n v="647.16"/>
    <x v="44"/>
    <m/>
    <n v="557.6865165165168"/>
    <x v="0"/>
    <n v="1.9139139139139139"/>
    <n v="557.6865165165168"/>
  </r>
  <r>
    <x v="531"/>
    <d v="2022-09-19T00:00:00"/>
    <x v="9"/>
    <x v="0"/>
    <x v="2"/>
    <x v="1"/>
    <x v="4"/>
    <x v="4"/>
    <x v="0"/>
    <x v="1"/>
    <x v="0"/>
    <n v="1"/>
    <n v="4"/>
    <n v="4"/>
    <n v="1"/>
    <n v="664.23"/>
    <x v="35"/>
    <m/>
    <n v="557.6865165165168"/>
    <x v="0"/>
    <n v="1.9139139139139139"/>
    <n v="557.6865165165168"/>
  </r>
  <r>
    <x v="532"/>
    <d v="2018-11-09T00:00:00"/>
    <x v="5"/>
    <x v="0"/>
    <x v="0"/>
    <x v="0"/>
    <x v="4"/>
    <x v="3"/>
    <x v="0"/>
    <x v="1"/>
    <x v="0"/>
    <n v="4"/>
    <n v="4"/>
    <n v="3"/>
    <n v="4"/>
    <n v="893.07"/>
    <x v="18"/>
    <m/>
    <n v="557.6865165165168"/>
    <x v="0"/>
    <n v="1.9139139139139139"/>
    <n v="557.6865165165168"/>
  </r>
  <r>
    <x v="533"/>
    <d v="2018-12-30T00:00:00"/>
    <x v="6"/>
    <x v="0"/>
    <x v="0"/>
    <x v="1"/>
    <x v="4"/>
    <x v="10"/>
    <x v="0"/>
    <x v="0"/>
    <x v="0"/>
    <n v="5"/>
    <n v="3"/>
    <n v="1"/>
    <n v="5"/>
    <n v="868.98"/>
    <x v="44"/>
    <m/>
    <n v="557.6865165165168"/>
    <x v="0"/>
    <n v="1.9139139139139139"/>
    <n v="557.6865165165168"/>
  </r>
  <r>
    <x v="534"/>
    <d v="2023-05-11T00:00:00"/>
    <x v="2"/>
    <x v="0"/>
    <x v="1"/>
    <x v="1"/>
    <x v="5"/>
    <x v="4"/>
    <x v="0"/>
    <x v="0"/>
    <x v="0"/>
    <n v="4"/>
    <n v="1"/>
    <n v="4"/>
    <n v="5"/>
    <n v="761.95"/>
    <x v="6"/>
    <m/>
    <n v="557.6865165165168"/>
    <x v="0"/>
    <n v="1.9139139139139139"/>
    <n v="557.6865165165168"/>
  </r>
  <r>
    <x v="535"/>
    <d v="2022-11-03T00:00:00"/>
    <x v="4"/>
    <x v="0"/>
    <x v="0"/>
    <x v="1"/>
    <x v="5"/>
    <x v="6"/>
    <x v="0"/>
    <x v="0"/>
    <x v="0"/>
    <n v="5"/>
    <n v="2"/>
    <n v="5"/>
    <n v="4"/>
    <n v="431.57"/>
    <x v="61"/>
    <m/>
    <n v="557.6865165165168"/>
    <x v="0"/>
    <n v="1.9139139139139139"/>
    <n v="557.6865165165168"/>
  </r>
  <r>
    <x v="536"/>
    <d v="2020-06-14T00:00:00"/>
    <x v="0"/>
    <x v="0"/>
    <x v="2"/>
    <x v="1"/>
    <x v="5"/>
    <x v="3"/>
    <x v="0"/>
    <x v="1"/>
    <x v="0"/>
    <n v="2"/>
    <n v="3"/>
    <n v="5"/>
    <n v="4"/>
    <n v="357.57"/>
    <x v="1"/>
    <m/>
    <n v="557.6865165165168"/>
    <x v="0"/>
    <n v="1.9139139139139139"/>
    <n v="557.6865165165168"/>
  </r>
  <r>
    <x v="537"/>
    <d v="2019-10-15T00:00:00"/>
    <x v="9"/>
    <x v="1"/>
    <x v="1"/>
    <x v="0"/>
    <x v="4"/>
    <x v="3"/>
    <x v="0"/>
    <x v="1"/>
    <x v="0"/>
    <n v="5"/>
    <n v="5"/>
    <n v="4"/>
    <n v="3"/>
    <n v="804.06"/>
    <x v="55"/>
    <m/>
    <n v="557.6865165165168"/>
    <x v="0"/>
    <n v="1.9139139139139139"/>
    <n v="557.6865165165168"/>
  </r>
  <r>
    <x v="538"/>
    <d v="2020-04-28T00:00:00"/>
    <x v="7"/>
    <x v="0"/>
    <x v="2"/>
    <x v="2"/>
    <x v="4"/>
    <x v="4"/>
    <x v="0"/>
    <x v="0"/>
    <x v="0"/>
    <n v="3"/>
    <n v="5"/>
    <n v="4"/>
    <n v="5"/>
    <n v="729.41"/>
    <x v="11"/>
    <m/>
    <n v="557.6865165165168"/>
    <x v="0"/>
    <n v="1.9139139139139139"/>
    <n v="557.6865165165168"/>
  </r>
  <r>
    <x v="539"/>
    <d v="2019-10-29T00:00:00"/>
    <x v="3"/>
    <x v="0"/>
    <x v="0"/>
    <x v="0"/>
    <x v="4"/>
    <x v="4"/>
    <x v="0"/>
    <x v="1"/>
    <x v="0"/>
    <n v="4"/>
    <n v="4"/>
    <n v="1"/>
    <n v="1"/>
    <n v="169.46"/>
    <x v="32"/>
    <m/>
    <n v="557.6865165165168"/>
    <x v="0"/>
    <n v="1.9139139139139139"/>
    <n v="557.6865165165168"/>
  </r>
  <r>
    <x v="540"/>
    <d v="2021-04-28T00:00:00"/>
    <x v="5"/>
    <x v="0"/>
    <x v="2"/>
    <x v="2"/>
    <x v="4"/>
    <x v="3"/>
    <x v="0"/>
    <x v="1"/>
    <x v="0"/>
    <n v="5"/>
    <n v="3"/>
    <n v="2"/>
    <n v="1"/>
    <n v="833.28"/>
    <x v="53"/>
    <m/>
    <n v="557.6865165165168"/>
    <x v="0"/>
    <n v="1.9139139139139139"/>
    <n v="557.6865165165168"/>
  </r>
  <r>
    <x v="541"/>
    <d v="2022-04-19T00:00:00"/>
    <x v="9"/>
    <x v="0"/>
    <x v="1"/>
    <x v="0"/>
    <x v="4"/>
    <x v="1"/>
    <x v="0"/>
    <x v="1"/>
    <x v="0"/>
    <n v="5"/>
    <n v="4"/>
    <n v="4"/>
    <n v="3"/>
    <n v="482.23"/>
    <x v="12"/>
    <m/>
    <n v="557.6865165165168"/>
    <x v="0"/>
    <n v="1.9139139139139139"/>
    <n v="557.6865165165168"/>
  </r>
  <r>
    <x v="542"/>
    <d v="2023-03-28T00:00:00"/>
    <x v="5"/>
    <x v="0"/>
    <x v="0"/>
    <x v="2"/>
    <x v="4"/>
    <x v="4"/>
    <x v="0"/>
    <x v="1"/>
    <x v="0"/>
    <n v="3"/>
    <n v="1"/>
    <n v="3"/>
    <n v="4"/>
    <n v="169.85"/>
    <x v="18"/>
    <m/>
    <n v="557.6865165165168"/>
    <x v="0"/>
    <n v="1.9139139139139139"/>
    <n v="557.6865165165168"/>
  </r>
  <r>
    <x v="543"/>
    <d v="2019-05-06T00:00:00"/>
    <x v="6"/>
    <x v="0"/>
    <x v="1"/>
    <x v="0"/>
    <x v="4"/>
    <x v="9"/>
    <x v="0"/>
    <x v="0"/>
    <x v="0"/>
    <n v="2"/>
    <n v="5"/>
    <n v="1"/>
    <n v="1"/>
    <n v="570.62"/>
    <x v="58"/>
    <m/>
    <n v="557.6865165165168"/>
    <x v="0"/>
    <n v="1.9139139139139139"/>
    <n v="557.6865165165168"/>
  </r>
  <r>
    <x v="544"/>
    <d v="2020-10-13T00:00:00"/>
    <x v="2"/>
    <x v="0"/>
    <x v="1"/>
    <x v="1"/>
    <x v="5"/>
    <x v="20"/>
    <x v="0"/>
    <x v="0"/>
    <x v="0"/>
    <n v="1"/>
    <n v="5"/>
    <n v="5"/>
    <n v="2"/>
    <n v="724.14"/>
    <x v="11"/>
    <m/>
    <n v="557.6865165165168"/>
    <x v="0"/>
    <n v="1.9139139139139139"/>
    <n v="557.6865165165168"/>
  </r>
  <r>
    <x v="545"/>
    <d v="2021-07-06T00:00:00"/>
    <x v="4"/>
    <x v="0"/>
    <x v="2"/>
    <x v="1"/>
    <x v="5"/>
    <x v="4"/>
    <x v="0"/>
    <x v="1"/>
    <x v="0"/>
    <n v="5"/>
    <n v="2"/>
    <n v="1"/>
    <n v="3"/>
    <n v="305.98"/>
    <x v="39"/>
    <m/>
    <n v="557.6865165165168"/>
    <x v="0"/>
    <n v="1.9139139139139139"/>
    <n v="557.6865165165168"/>
  </r>
  <r>
    <x v="546"/>
    <d v="2020-09-24T00:00:00"/>
    <x v="0"/>
    <x v="1"/>
    <x v="2"/>
    <x v="0"/>
    <x v="4"/>
    <x v="10"/>
    <x v="0"/>
    <x v="1"/>
    <x v="0"/>
    <n v="5"/>
    <n v="1"/>
    <n v="4"/>
    <n v="2"/>
    <n v="646.76"/>
    <x v="2"/>
    <m/>
    <n v="557.6865165165168"/>
    <x v="0"/>
    <n v="1.9139139139139139"/>
    <n v="557.6865165165168"/>
  </r>
  <r>
    <x v="547"/>
    <d v="2023-01-18T00:00:00"/>
    <x v="7"/>
    <x v="0"/>
    <x v="0"/>
    <x v="2"/>
    <x v="4"/>
    <x v="4"/>
    <x v="0"/>
    <x v="1"/>
    <x v="0"/>
    <n v="5"/>
    <n v="1"/>
    <n v="2"/>
    <n v="2"/>
    <n v="516.89"/>
    <x v="22"/>
    <m/>
    <n v="557.6865165165168"/>
    <x v="0"/>
    <n v="1.9139139139139139"/>
    <n v="557.6865165165168"/>
  </r>
  <r>
    <x v="548"/>
    <d v="2019-08-22T00:00:00"/>
    <x v="1"/>
    <x v="1"/>
    <x v="2"/>
    <x v="2"/>
    <x v="4"/>
    <x v="0"/>
    <x v="0"/>
    <x v="0"/>
    <x v="0"/>
    <n v="2"/>
    <n v="4"/>
    <n v="5"/>
    <n v="5"/>
    <n v="520.41"/>
    <x v="49"/>
    <m/>
    <n v="557.6865165165168"/>
    <x v="0"/>
    <n v="1.9139139139139139"/>
    <n v="557.6865165165168"/>
  </r>
  <r>
    <x v="549"/>
    <d v="2019-07-25T00:00:00"/>
    <x v="8"/>
    <x v="1"/>
    <x v="0"/>
    <x v="1"/>
    <x v="4"/>
    <x v="4"/>
    <x v="0"/>
    <x v="1"/>
    <x v="0"/>
    <n v="5"/>
    <n v="3"/>
    <n v="1"/>
    <n v="5"/>
    <n v="712.84"/>
    <x v="42"/>
    <m/>
    <n v="557.6865165165168"/>
    <x v="0"/>
    <n v="1.9139139139139139"/>
    <n v="557.6865165165168"/>
  </r>
  <r>
    <x v="550"/>
    <d v="2019-11-11T00:00:00"/>
    <x v="3"/>
    <x v="1"/>
    <x v="1"/>
    <x v="1"/>
    <x v="4"/>
    <x v="6"/>
    <x v="0"/>
    <x v="1"/>
    <x v="0"/>
    <n v="3"/>
    <n v="1"/>
    <n v="4"/>
    <n v="3"/>
    <n v="871.12"/>
    <x v="28"/>
    <m/>
    <n v="557.6865165165168"/>
    <x v="0"/>
    <n v="1.9139139139139139"/>
    <n v="557.6865165165168"/>
  </r>
  <r>
    <x v="551"/>
    <d v="2022-07-16T00:00:00"/>
    <x v="9"/>
    <x v="0"/>
    <x v="0"/>
    <x v="2"/>
    <x v="4"/>
    <x v="4"/>
    <x v="0"/>
    <x v="1"/>
    <x v="0"/>
    <n v="1"/>
    <n v="3"/>
    <n v="4"/>
    <n v="1"/>
    <n v="228.11"/>
    <x v="5"/>
    <m/>
    <n v="557.6865165165168"/>
    <x v="0"/>
    <n v="1.9139139139139139"/>
    <n v="557.6865165165168"/>
  </r>
  <r>
    <x v="552"/>
    <d v="2022-12-19T00:00:00"/>
    <x v="5"/>
    <x v="0"/>
    <x v="1"/>
    <x v="0"/>
    <x v="4"/>
    <x v="8"/>
    <x v="0"/>
    <x v="0"/>
    <x v="0"/>
    <n v="1"/>
    <n v="1"/>
    <n v="3"/>
    <n v="2"/>
    <n v="289.93"/>
    <x v="14"/>
    <m/>
    <n v="557.6865165165168"/>
    <x v="0"/>
    <n v="1.9139139139139139"/>
    <n v="557.6865165165168"/>
  </r>
  <r>
    <x v="553"/>
    <d v="2020-09-15T00:00:00"/>
    <x v="6"/>
    <x v="0"/>
    <x v="0"/>
    <x v="1"/>
    <x v="4"/>
    <x v="4"/>
    <x v="0"/>
    <x v="0"/>
    <x v="0"/>
    <n v="2"/>
    <n v="4"/>
    <n v="5"/>
    <n v="4"/>
    <n v="920.78"/>
    <x v="32"/>
    <m/>
    <n v="557.6865165165168"/>
    <x v="0"/>
    <n v="1.9139139139139139"/>
    <n v="557.6865165165168"/>
  </r>
  <r>
    <x v="554"/>
    <d v="2020-10-04T00:00:00"/>
    <x v="2"/>
    <x v="0"/>
    <x v="1"/>
    <x v="0"/>
    <x v="5"/>
    <x v="14"/>
    <x v="0"/>
    <x v="0"/>
    <x v="0"/>
    <n v="1"/>
    <n v="4"/>
    <n v="1"/>
    <n v="2"/>
    <n v="690.41"/>
    <x v="36"/>
    <m/>
    <n v="557.6865165165168"/>
    <x v="0"/>
    <n v="1.9139139139139139"/>
    <n v="557.6865165165168"/>
  </r>
  <r>
    <x v="555"/>
    <d v="2022-04-23T00:00:00"/>
    <x v="0"/>
    <x v="1"/>
    <x v="1"/>
    <x v="1"/>
    <x v="4"/>
    <x v="20"/>
    <x v="0"/>
    <x v="1"/>
    <x v="0"/>
    <n v="3"/>
    <n v="5"/>
    <n v="4"/>
    <n v="2"/>
    <n v="211.39"/>
    <x v="35"/>
    <m/>
    <n v="557.6865165165168"/>
    <x v="0"/>
    <n v="1.9139139139139139"/>
    <n v="557.6865165165168"/>
  </r>
  <r>
    <x v="556"/>
    <d v="2021-11-27T00:00:00"/>
    <x v="7"/>
    <x v="0"/>
    <x v="0"/>
    <x v="1"/>
    <x v="4"/>
    <x v="4"/>
    <x v="0"/>
    <x v="0"/>
    <x v="0"/>
    <n v="4"/>
    <n v="2"/>
    <n v="3"/>
    <n v="2"/>
    <n v="606.63"/>
    <x v="50"/>
    <m/>
    <n v="557.6865165165168"/>
    <x v="0"/>
    <n v="1.9139139139139139"/>
    <n v="557.6865165165168"/>
  </r>
  <r>
    <x v="557"/>
    <d v="2019-11-29T00:00:00"/>
    <x v="1"/>
    <x v="0"/>
    <x v="2"/>
    <x v="1"/>
    <x v="4"/>
    <x v="3"/>
    <x v="0"/>
    <x v="1"/>
    <x v="0"/>
    <n v="3"/>
    <n v="1"/>
    <n v="4"/>
    <n v="5"/>
    <n v="503.99"/>
    <x v="6"/>
    <m/>
    <n v="557.6865165165168"/>
    <x v="0"/>
    <n v="1.9139139139139139"/>
    <n v="557.6865165165168"/>
  </r>
  <r>
    <x v="558"/>
    <d v="2019-05-30T00:00:00"/>
    <x v="8"/>
    <x v="1"/>
    <x v="2"/>
    <x v="2"/>
    <x v="4"/>
    <x v="4"/>
    <x v="0"/>
    <x v="1"/>
    <x v="0"/>
    <n v="3"/>
    <n v="5"/>
    <n v="2"/>
    <n v="2"/>
    <n v="518.54"/>
    <x v="60"/>
    <m/>
    <n v="557.6865165165168"/>
    <x v="0"/>
    <n v="1.9139139139139139"/>
    <n v="557.6865165165168"/>
  </r>
  <r>
    <x v="559"/>
    <d v="2020-11-23T00:00:00"/>
    <x v="3"/>
    <x v="0"/>
    <x v="0"/>
    <x v="2"/>
    <x v="4"/>
    <x v="0"/>
    <x v="0"/>
    <x v="1"/>
    <x v="0"/>
    <n v="4"/>
    <n v="5"/>
    <n v="1"/>
    <n v="1"/>
    <n v="846.43"/>
    <x v="2"/>
    <m/>
    <n v="557.6865165165168"/>
    <x v="0"/>
    <n v="1.9139139139139139"/>
    <n v="557.6865165165168"/>
  </r>
  <r>
    <x v="560"/>
    <d v="2022-04-08T00:00:00"/>
    <x v="9"/>
    <x v="0"/>
    <x v="1"/>
    <x v="0"/>
    <x v="4"/>
    <x v="4"/>
    <x v="0"/>
    <x v="1"/>
    <x v="0"/>
    <n v="2"/>
    <n v="4"/>
    <n v="5"/>
    <n v="3"/>
    <n v="572.94000000000005"/>
    <x v="11"/>
    <m/>
    <n v="557.6865165165168"/>
    <x v="0"/>
    <n v="1.9139139139139139"/>
    <n v="557.6865165165168"/>
  </r>
  <r>
    <x v="561"/>
    <d v="2021-02-25T00:00:00"/>
    <x v="5"/>
    <x v="0"/>
    <x v="0"/>
    <x v="2"/>
    <x v="4"/>
    <x v="3"/>
    <x v="0"/>
    <x v="0"/>
    <x v="0"/>
    <n v="1"/>
    <n v="4"/>
    <n v="4"/>
    <n v="4"/>
    <n v="234.76"/>
    <x v="11"/>
    <m/>
    <n v="557.6865165165168"/>
    <x v="0"/>
    <n v="1.9139139139139139"/>
    <n v="557.6865165165168"/>
  </r>
  <r>
    <x v="562"/>
    <d v="2019-03-13T00:00:00"/>
    <x v="6"/>
    <x v="0"/>
    <x v="0"/>
    <x v="0"/>
    <x v="4"/>
    <x v="9"/>
    <x v="0"/>
    <x v="0"/>
    <x v="0"/>
    <n v="2"/>
    <n v="1"/>
    <n v="4"/>
    <n v="4"/>
    <n v="704.7"/>
    <x v="61"/>
    <m/>
    <n v="557.6865165165168"/>
    <x v="0"/>
    <n v="1.9139139139139139"/>
    <n v="557.6865165165168"/>
  </r>
  <r>
    <x v="563"/>
    <d v="2023-02-12T00:00:00"/>
    <x v="2"/>
    <x v="0"/>
    <x v="2"/>
    <x v="1"/>
    <x v="4"/>
    <x v="6"/>
    <x v="0"/>
    <x v="1"/>
    <x v="0"/>
    <n v="1"/>
    <n v="5"/>
    <n v="2"/>
    <n v="3"/>
    <n v="533.97"/>
    <x v="13"/>
    <m/>
    <n v="557.6865165165168"/>
    <x v="0"/>
    <n v="1.9139139139139139"/>
    <n v="557.6865165165168"/>
  </r>
  <r>
    <x v="564"/>
    <d v="2018-09-08T00:00:00"/>
    <x v="9"/>
    <x v="0"/>
    <x v="0"/>
    <x v="0"/>
    <x v="4"/>
    <x v="4"/>
    <x v="0"/>
    <x v="0"/>
    <x v="0"/>
    <n v="3"/>
    <n v="4"/>
    <n v="1"/>
    <n v="2"/>
    <n v="125.7"/>
    <x v="3"/>
    <m/>
    <n v="557.6865165165168"/>
    <x v="0"/>
    <n v="1.9139139139139139"/>
    <n v="557.6865165165168"/>
  </r>
  <r>
    <x v="565"/>
    <d v="2021-11-18T00:00:00"/>
    <x v="7"/>
    <x v="0"/>
    <x v="0"/>
    <x v="0"/>
    <x v="4"/>
    <x v="13"/>
    <x v="0"/>
    <x v="1"/>
    <x v="0"/>
    <n v="4"/>
    <n v="2"/>
    <n v="2"/>
    <n v="2"/>
    <n v="442.06"/>
    <x v="33"/>
    <m/>
    <n v="557.6865165165168"/>
    <x v="0"/>
    <n v="1.9139139139139139"/>
    <n v="557.6865165165168"/>
  </r>
  <r>
    <x v="566"/>
    <d v="2023-07-01T00:00:00"/>
    <x v="3"/>
    <x v="0"/>
    <x v="1"/>
    <x v="1"/>
    <x v="4"/>
    <x v="13"/>
    <x v="0"/>
    <x v="1"/>
    <x v="0"/>
    <n v="3"/>
    <n v="2"/>
    <n v="5"/>
    <n v="4"/>
    <n v="649.23"/>
    <x v="17"/>
    <m/>
    <n v="557.6865165165168"/>
    <x v="0"/>
    <n v="1.9139139139139139"/>
    <n v="557.6865165165168"/>
  </r>
  <r>
    <x v="567"/>
    <d v="2022-04-18T00:00:00"/>
    <x v="5"/>
    <x v="0"/>
    <x v="0"/>
    <x v="0"/>
    <x v="4"/>
    <x v="18"/>
    <x v="0"/>
    <x v="1"/>
    <x v="0"/>
    <n v="4"/>
    <n v="2"/>
    <n v="1"/>
    <n v="1"/>
    <n v="855.67"/>
    <x v="5"/>
    <m/>
    <n v="557.6865165165168"/>
    <x v="0"/>
    <n v="1.9139139139139139"/>
    <n v="557.6865165165168"/>
  </r>
  <r>
    <x v="568"/>
    <d v="2023-04-29T00:00:00"/>
    <x v="4"/>
    <x v="0"/>
    <x v="2"/>
    <x v="0"/>
    <x v="4"/>
    <x v="6"/>
    <x v="0"/>
    <x v="0"/>
    <x v="0"/>
    <n v="4"/>
    <n v="3"/>
    <n v="3"/>
    <n v="3"/>
    <n v="256.82"/>
    <x v="53"/>
    <m/>
    <n v="557.6865165165168"/>
    <x v="0"/>
    <n v="1.9139139139139139"/>
    <n v="557.6865165165168"/>
  </r>
  <r>
    <x v="569"/>
    <d v="2018-10-10T00:00:00"/>
    <x v="0"/>
    <x v="0"/>
    <x v="2"/>
    <x v="2"/>
    <x v="4"/>
    <x v="3"/>
    <x v="0"/>
    <x v="0"/>
    <x v="0"/>
    <n v="5"/>
    <n v="5"/>
    <n v="4"/>
    <n v="1"/>
    <n v="770.84"/>
    <x v="58"/>
    <m/>
    <n v="557.6865165165168"/>
    <x v="0"/>
    <n v="1.9139139139139139"/>
    <n v="557.6865165165168"/>
  </r>
  <r>
    <x v="570"/>
    <d v="2022-11-20T00:00:00"/>
    <x v="1"/>
    <x v="0"/>
    <x v="2"/>
    <x v="0"/>
    <x v="4"/>
    <x v="2"/>
    <x v="0"/>
    <x v="0"/>
    <x v="0"/>
    <n v="3"/>
    <n v="3"/>
    <n v="1"/>
    <n v="2"/>
    <n v="862.33"/>
    <x v="38"/>
    <m/>
    <n v="557.6865165165168"/>
    <x v="0"/>
    <n v="1.9139139139139139"/>
    <n v="557.6865165165168"/>
  </r>
  <r>
    <x v="571"/>
    <d v="2019-05-18T00:00:00"/>
    <x v="4"/>
    <x v="1"/>
    <x v="2"/>
    <x v="1"/>
    <x v="4"/>
    <x v="6"/>
    <x v="0"/>
    <x v="1"/>
    <x v="0"/>
    <n v="3"/>
    <n v="2"/>
    <n v="1"/>
    <n v="5"/>
    <n v="702.84"/>
    <x v="0"/>
    <m/>
    <n v="557.6865165165168"/>
    <x v="0"/>
    <n v="1.9139139139139139"/>
    <n v="557.6865165165168"/>
  </r>
  <r>
    <x v="572"/>
    <d v="2021-06-22T00:00:00"/>
    <x v="0"/>
    <x v="0"/>
    <x v="1"/>
    <x v="2"/>
    <x v="4"/>
    <x v="1"/>
    <x v="0"/>
    <x v="0"/>
    <x v="0"/>
    <n v="5"/>
    <n v="2"/>
    <n v="4"/>
    <n v="1"/>
    <n v="523.82000000000005"/>
    <x v="25"/>
    <m/>
    <n v="557.6865165165168"/>
    <x v="0"/>
    <n v="1.9139139139139139"/>
    <n v="557.6865165165168"/>
  </r>
  <r>
    <x v="573"/>
    <d v="2022-03-30T00:00:00"/>
    <x v="7"/>
    <x v="1"/>
    <x v="2"/>
    <x v="1"/>
    <x v="4"/>
    <x v="4"/>
    <x v="0"/>
    <x v="1"/>
    <x v="0"/>
    <n v="5"/>
    <n v="4"/>
    <n v="4"/>
    <n v="1"/>
    <n v="819.86"/>
    <x v="41"/>
    <m/>
    <n v="557.6865165165168"/>
    <x v="0"/>
    <n v="1.9139139139139139"/>
    <n v="557.6865165165168"/>
  </r>
  <r>
    <x v="574"/>
    <d v="2018-08-28T00:00:00"/>
    <x v="1"/>
    <x v="0"/>
    <x v="0"/>
    <x v="0"/>
    <x v="4"/>
    <x v="6"/>
    <x v="0"/>
    <x v="1"/>
    <x v="0"/>
    <n v="5"/>
    <n v="3"/>
    <n v="4"/>
    <n v="4"/>
    <n v="486.01"/>
    <x v="3"/>
    <m/>
    <n v="557.6865165165168"/>
    <x v="0"/>
    <n v="1.9139139139139139"/>
    <n v="557.6865165165168"/>
  </r>
  <r>
    <x v="575"/>
    <d v="2021-12-27T00:00:00"/>
    <x v="8"/>
    <x v="0"/>
    <x v="1"/>
    <x v="0"/>
    <x v="4"/>
    <x v="14"/>
    <x v="0"/>
    <x v="1"/>
    <x v="0"/>
    <n v="4"/>
    <n v="3"/>
    <n v="5"/>
    <n v="5"/>
    <n v="769.42"/>
    <x v="21"/>
    <m/>
    <n v="557.6865165165168"/>
    <x v="0"/>
    <n v="1.9139139139139139"/>
    <n v="557.6865165165168"/>
  </r>
  <r>
    <x v="576"/>
    <d v="2020-11-14T00:00:00"/>
    <x v="3"/>
    <x v="0"/>
    <x v="2"/>
    <x v="1"/>
    <x v="4"/>
    <x v="4"/>
    <x v="0"/>
    <x v="0"/>
    <x v="0"/>
    <n v="3"/>
    <n v="2"/>
    <n v="5"/>
    <n v="5"/>
    <n v="857.65"/>
    <x v="61"/>
    <m/>
    <n v="557.6865165165168"/>
    <x v="0"/>
    <n v="1.9139139139139139"/>
    <n v="557.6865165165168"/>
  </r>
  <r>
    <x v="577"/>
    <d v="2021-10-01T00:00:00"/>
    <x v="9"/>
    <x v="0"/>
    <x v="1"/>
    <x v="2"/>
    <x v="4"/>
    <x v="13"/>
    <x v="0"/>
    <x v="0"/>
    <x v="0"/>
    <n v="3"/>
    <n v="2"/>
    <n v="2"/>
    <n v="1"/>
    <n v="238.27"/>
    <x v="3"/>
    <m/>
    <n v="557.6865165165168"/>
    <x v="0"/>
    <n v="1.9139139139139139"/>
    <n v="557.6865165165168"/>
  </r>
  <r>
    <x v="578"/>
    <d v="2018-10-13T00:00:00"/>
    <x v="5"/>
    <x v="0"/>
    <x v="1"/>
    <x v="2"/>
    <x v="4"/>
    <x v="3"/>
    <x v="0"/>
    <x v="0"/>
    <x v="0"/>
    <n v="3"/>
    <n v="1"/>
    <n v="2"/>
    <n v="5"/>
    <n v="886.06"/>
    <x v="28"/>
    <m/>
    <n v="557.6865165165168"/>
    <x v="0"/>
    <n v="1.9139139139139139"/>
    <n v="557.6865165165168"/>
  </r>
  <r>
    <x v="579"/>
    <d v="2018-12-15T00:00:00"/>
    <x v="6"/>
    <x v="0"/>
    <x v="1"/>
    <x v="0"/>
    <x v="4"/>
    <x v="2"/>
    <x v="0"/>
    <x v="1"/>
    <x v="0"/>
    <n v="3"/>
    <n v="1"/>
    <n v="2"/>
    <n v="1"/>
    <n v="943.8"/>
    <x v="27"/>
    <m/>
    <n v="557.6865165165168"/>
    <x v="0"/>
    <n v="1.9139139139139139"/>
    <n v="557.6865165165168"/>
  </r>
  <r>
    <x v="580"/>
    <d v="2019-03-28T00:00:00"/>
    <x v="2"/>
    <x v="1"/>
    <x v="0"/>
    <x v="1"/>
    <x v="4"/>
    <x v="4"/>
    <x v="0"/>
    <x v="1"/>
    <x v="0"/>
    <n v="1"/>
    <n v="2"/>
    <n v="2"/>
    <n v="5"/>
    <n v="234.26"/>
    <x v="62"/>
    <m/>
    <n v="557.6865165165168"/>
    <x v="0"/>
    <n v="1.9139139139139139"/>
    <n v="557.6865165165168"/>
  </r>
  <r>
    <x v="581"/>
    <d v="2018-12-27T00:00:00"/>
    <x v="4"/>
    <x v="0"/>
    <x v="2"/>
    <x v="0"/>
    <x v="4"/>
    <x v="4"/>
    <x v="0"/>
    <x v="0"/>
    <x v="0"/>
    <n v="2"/>
    <n v="2"/>
    <n v="3"/>
    <n v="5"/>
    <n v="179.91"/>
    <x v="11"/>
    <m/>
    <n v="557.6865165165168"/>
    <x v="0"/>
    <n v="1.9139139139139139"/>
    <n v="557.6865165165168"/>
  </r>
  <r>
    <x v="582"/>
    <d v="2019-05-11T00:00:00"/>
    <x v="0"/>
    <x v="0"/>
    <x v="1"/>
    <x v="1"/>
    <x v="4"/>
    <x v="4"/>
    <x v="0"/>
    <x v="1"/>
    <x v="0"/>
    <n v="4"/>
    <n v="4"/>
    <n v="2"/>
    <n v="4"/>
    <n v="306.3"/>
    <x v="30"/>
    <m/>
    <n v="557.6865165165168"/>
    <x v="0"/>
    <n v="1.9139139139139139"/>
    <n v="557.6865165165168"/>
  </r>
  <r>
    <x v="583"/>
    <d v="2021-02-19T00:00:00"/>
    <x v="7"/>
    <x v="1"/>
    <x v="1"/>
    <x v="1"/>
    <x v="4"/>
    <x v="3"/>
    <x v="0"/>
    <x v="1"/>
    <x v="0"/>
    <n v="3"/>
    <n v="4"/>
    <n v="1"/>
    <n v="5"/>
    <n v="103.42"/>
    <x v="15"/>
    <m/>
    <n v="557.6865165165168"/>
    <x v="0"/>
    <n v="1.9139139139139139"/>
    <n v="557.6865165165168"/>
  </r>
  <r>
    <x v="584"/>
    <d v="2022-11-05T00:00:00"/>
    <x v="1"/>
    <x v="0"/>
    <x v="2"/>
    <x v="2"/>
    <x v="4"/>
    <x v="6"/>
    <x v="0"/>
    <x v="1"/>
    <x v="0"/>
    <n v="1"/>
    <n v="2"/>
    <n v="3"/>
    <n v="4"/>
    <n v="573.29"/>
    <x v="57"/>
    <m/>
    <n v="557.6865165165168"/>
    <x v="0"/>
    <n v="1.9139139139139139"/>
    <n v="557.6865165165168"/>
  </r>
  <r>
    <x v="585"/>
    <d v="2020-03-22T00:00:00"/>
    <x v="8"/>
    <x v="0"/>
    <x v="0"/>
    <x v="0"/>
    <x v="4"/>
    <x v="5"/>
    <x v="0"/>
    <x v="0"/>
    <x v="0"/>
    <n v="1"/>
    <n v="3"/>
    <n v="1"/>
    <n v="4"/>
    <n v="619.61"/>
    <x v="24"/>
    <m/>
    <n v="557.6865165165168"/>
    <x v="0"/>
    <n v="1.9139139139139139"/>
    <n v="557.6865165165168"/>
  </r>
  <r>
    <x v="586"/>
    <d v="2019-02-02T00:00:00"/>
    <x v="3"/>
    <x v="0"/>
    <x v="0"/>
    <x v="2"/>
    <x v="4"/>
    <x v="15"/>
    <x v="0"/>
    <x v="0"/>
    <x v="0"/>
    <n v="5"/>
    <n v="2"/>
    <n v="4"/>
    <n v="1"/>
    <n v="947.17"/>
    <x v="2"/>
    <m/>
    <n v="557.6865165165168"/>
    <x v="0"/>
    <n v="1.9139139139139139"/>
    <n v="557.6865165165168"/>
  </r>
  <r>
    <x v="587"/>
    <d v="2020-02-24T00:00:00"/>
    <x v="9"/>
    <x v="0"/>
    <x v="0"/>
    <x v="0"/>
    <x v="4"/>
    <x v="1"/>
    <x v="0"/>
    <x v="0"/>
    <x v="0"/>
    <n v="3"/>
    <n v="3"/>
    <n v="4"/>
    <n v="1"/>
    <n v="597.64"/>
    <x v="3"/>
    <m/>
    <n v="557.6865165165168"/>
    <x v="0"/>
    <n v="1.9139139139139139"/>
    <n v="557.6865165165168"/>
  </r>
  <r>
    <x v="588"/>
    <d v="2021-04-07T00:00:00"/>
    <x v="5"/>
    <x v="0"/>
    <x v="2"/>
    <x v="2"/>
    <x v="4"/>
    <x v="11"/>
    <x v="0"/>
    <x v="0"/>
    <x v="0"/>
    <n v="2"/>
    <n v="2"/>
    <n v="1"/>
    <n v="5"/>
    <n v="861.1"/>
    <x v="30"/>
    <m/>
    <n v="557.6865165165168"/>
    <x v="0"/>
    <n v="1.9139139139139139"/>
    <n v="557.6865165165168"/>
  </r>
  <r>
    <x v="589"/>
    <d v="2020-11-14T00:00:00"/>
    <x v="6"/>
    <x v="0"/>
    <x v="2"/>
    <x v="0"/>
    <x v="4"/>
    <x v="10"/>
    <x v="0"/>
    <x v="1"/>
    <x v="0"/>
    <n v="3"/>
    <n v="1"/>
    <n v="3"/>
    <n v="4"/>
    <n v="199.14"/>
    <x v="37"/>
    <m/>
    <n v="557.6865165165168"/>
    <x v="0"/>
    <n v="1.9139139139139139"/>
    <n v="557.6865165165168"/>
  </r>
  <r>
    <x v="590"/>
    <d v="2022-01-17T00:00:00"/>
    <x v="1"/>
    <x v="1"/>
    <x v="0"/>
    <x v="2"/>
    <x v="4"/>
    <x v="3"/>
    <x v="0"/>
    <x v="1"/>
    <x v="0"/>
    <n v="1"/>
    <n v="3"/>
    <n v="3"/>
    <n v="3"/>
    <n v="526.08000000000004"/>
    <x v="36"/>
    <m/>
    <n v="557.6865165165168"/>
    <x v="0"/>
    <n v="1.9139139139139139"/>
    <n v="557.6865165165168"/>
  </r>
  <r>
    <x v="591"/>
    <d v="2021-09-02T00:00:00"/>
    <x v="8"/>
    <x v="0"/>
    <x v="2"/>
    <x v="2"/>
    <x v="4"/>
    <x v="3"/>
    <x v="0"/>
    <x v="1"/>
    <x v="0"/>
    <n v="1"/>
    <n v="4"/>
    <n v="1"/>
    <n v="5"/>
    <n v="662.15"/>
    <x v="54"/>
    <m/>
    <n v="557.6865165165168"/>
    <x v="0"/>
    <n v="1.9139139139139139"/>
    <n v="557.6865165165168"/>
  </r>
  <r>
    <x v="592"/>
    <d v="2023-07-30T00:00:00"/>
    <x v="6"/>
    <x v="0"/>
    <x v="2"/>
    <x v="1"/>
    <x v="4"/>
    <x v="1"/>
    <x v="0"/>
    <x v="0"/>
    <x v="0"/>
    <n v="5"/>
    <n v="5"/>
    <n v="3"/>
    <n v="4"/>
    <n v="869.89"/>
    <x v="35"/>
    <m/>
    <n v="557.6865165165168"/>
    <x v="0"/>
    <n v="1.9139139139139139"/>
    <n v="557.6865165165168"/>
  </r>
  <r>
    <x v="593"/>
    <d v="2023-06-27T00:00:00"/>
    <x v="2"/>
    <x v="0"/>
    <x v="0"/>
    <x v="0"/>
    <x v="4"/>
    <x v="7"/>
    <x v="0"/>
    <x v="1"/>
    <x v="0"/>
    <n v="1"/>
    <n v="2"/>
    <n v="4"/>
    <n v="3"/>
    <n v="295.39999999999998"/>
    <x v="48"/>
    <m/>
    <n v="557.6865165165168"/>
    <x v="0"/>
    <n v="1.9139139139139139"/>
    <n v="557.6865165165168"/>
  </r>
  <r>
    <x v="594"/>
    <d v="2022-03-27T00:00:00"/>
    <x v="9"/>
    <x v="0"/>
    <x v="0"/>
    <x v="2"/>
    <x v="4"/>
    <x v="3"/>
    <x v="0"/>
    <x v="1"/>
    <x v="0"/>
    <n v="5"/>
    <n v="5"/>
    <n v="3"/>
    <n v="5"/>
    <n v="993.13"/>
    <x v="10"/>
    <m/>
    <n v="557.6865165165168"/>
    <x v="0"/>
    <n v="1.9139139139139139"/>
    <n v="557.6865165165168"/>
  </r>
  <r>
    <x v="595"/>
    <d v="2022-08-12T00:00:00"/>
    <x v="7"/>
    <x v="0"/>
    <x v="0"/>
    <x v="1"/>
    <x v="4"/>
    <x v="4"/>
    <x v="0"/>
    <x v="0"/>
    <x v="0"/>
    <n v="1"/>
    <n v="1"/>
    <n v="5"/>
    <n v="2"/>
    <n v="641.69000000000005"/>
    <x v="53"/>
    <m/>
    <n v="557.6865165165168"/>
    <x v="0"/>
    <n v="1.9139139139139139"/>
    <n v="557.6865165165168"/>
  </r>
  <r>
    <x v="596"/>
    <d v="2022-07-08T00:00:00"/>
    <x v="3"/>
    <x v="0"/>
    <x v="2"/>
    <x v="1"/>
    <x v="4"/>
    <x v="4"/>
    <x v="0"/>
    <x v="0"/>
    <x v="0"/>
    <n v="1"/>
    <n v="5"/>
    <n v="2"/>
    <n v="5"/>
    <n v="197.34"/>
    <x v="40"/>
    <m/>
    <n v="557.6865165165168"/>
    <x v="0"/>
    <n v="1.9139139139139139"/>
    <n v="557.6865165165168"/>
  </r>
  <r>
    <x v="597"/>
    <d v="2020-08-15T00:00:00"/>
    <x v="5"/>
    <x v="0"/>
    <x v="0"/>
    <x v="2"/>
    <x v="4"/>
    <x v="3"/>
    <x v="0"/>
    <x v="0"/>
    <x v="0"/>
    <n v="4"/>
    <n v="3"/>
    <n v="1"/>
    <n v="2"/>
    <n v="235.15"/>
    <x v="38"/>
    <m/>
    <n v="557.6865165165168"/>
    <x v="0"/>
    <n v="1.9139139139139139"/>
    <n v="557.6865165165168"/>
  </r>
  <r>
    <x v="598"/>
    <d v="2023-05-27T00:00:00"/>
    <x v="4"/>
    <x v="0"/>
    <x v="1"/>
    <x v="1"/>
    <x v="4"/>
    <x v="13"/>
    <x v="0"/>
    <x v="0"/>
    <x v="0"/>
    <n v="3"/>
    <n v="1"/>
    <n v="5"/>
    <n v="2"/>
    <n v="697.28"/>
    <x v="10"/>
    <m/>
    <n v="557.6865165165168"/>
    <x v="0"/>
    <n v="1.9139139139139139"/>
    <n v="557.6865165165168"/>
  </r>
  <r>
    <x v="599"/>
    <d v="2023-01-02T00:00:00"/>
    <x v="0"/>
    <x v="0"/>
    <x v="2"/>
    <x v="0"/>
    <x v="4"/>
    <x v="4"/>
    <x v="0"/>
    <x v="0"/>
    <x v="0"/>
    <n v="4"/>
    <n v="3"/>
    <n v="4"/>
    <n v="1"/>
    <n v="910.33"/>
    <x v="1"/>
    <m/>
    <n v="557.6865165165168"/>
    <x v="0"/>
    <n v="1.9139139139139139"/>
    <n v="557.6865165165168"/>
  </r>
  <r>
    <x v="600"/>
    <d v="2018-11-16T00:00:00"/>
    <x v="9"/>
    <x v="0"/>
    <x v="0"/>
    <x v="2"/>
    <x v="0"/>
    <x v="2"/>
    <x v="0"/>
    <x v="1"/>
    <x v="0"/>
    <n v="2"/>
    <n v="4"/>
    <n v="3"/>
    <n v="2"/>
    <n v="213.91"/>
    <x v="37"/>
    <m/>
    <n v="557.6865165165168"/>
    <x v="0"/>
    <n v="1.9139139139139139"/>
    <n v="557.6865165165168"/>
  </r>
  <r>
    <x v="601"/>
    <d v="2022-07-12T00:00:00"/>
    <x v="9"/>
    <x v="0"/>
    <x v="2"/>
    <x v="0"/>
    <x v="0"/>
    <x v="4"/>
    <x v="0"/>
    <x v="0"/>
    <x v="0"/>
    <n v="1"/>
    <n v="4"/>
    <n v="1"/>
    <n v="5"/>
    <n v="971.46"/>
    <x v="22"/>
    <m/>
    <n v="557.6865165165168"/>
    <x v="0"/>
    <n v="1.9139139139139139"/>
    <n v="557.6865165165168"/>
  </r>
  <r>
    <x v="602"/>
    <d v="2022-12-16T00:00:00"/>
    <x v="6"/>
    <x v="0"/>
    <x v="0"/>
    <x v="2"/>
    <x v="0"/>
    <x v="6"/>
    <x v="0"/>
    <x v="0"/>
    <x v="0"/>
    <n v="3"/>
    <n v="1"/>
    <n v="4"/>
    <n v="5"/>
    <n v="995.52"/>
    <x v="28"/>
    <m/>
    <n v="557.6865165165168"/>
    <x v="0"/>
    <n v="1.9139139139139139"/>
    <n v="557.6865165165168"/>
  </r>
  <r>
    <x v="603"/>
    <d v="2023-05-08T00:00:00"/>
    <x v="1"/>
    <x v="0"/>
    <x v="2"/>
    <x v="1"/>
    <x v="0"/>
    <x v="4"/>
    <x v="0"/>
    <x v="0"/>
    <x v="0"/>
    <n v="5"/>
    <n v="4"/>
    <n v="5"/>
    <n v="4"/>
    <n v="161.4"/>
    <x v="38"/>
    <m/>
    <n v="557.6865165165168"/>
    <x v="0"/>
    <n v="1.9139139139139139"/>
    <n v="557.6865165165168"/>
  </r>
  <r>
    <x v="604"/>
    <d v="2023-04-07T00:00:00"/>
    <x v="5"/>
    <x v="0"/>
    <x v="1"/>
    <x v="1"/>
    <x v="0"/>
    <x v="6"/>
    <x v="0"/>
    <x v="0"/>
    <x v="0"/>
    <n v="1"/>
    <n v="2"/>
    <n v="1"/>
    <n v="4"/>
    <n v="715.87"/>
    <x v="63"/>
    <m/>
    <n v="557.6865165165168"/>
    <x v="0"/>
    <n v="1.9139139139139139"/>
    <n v="557.6865165165168"/>
  </r>
  <r>
    <x v="605"/>
    <d v="2022-02-15T00:00:00"/>
    <x v="9"/>
    <x v="0"/>
    <x v="2"/>
    <x v="0"/>
    <x v="0"/>
    <x v="12"/>
    <x v="0"/>
    <x v="0"/>
    <x v="0"/>
    <n v="1"/>
    <n v="3"/>
    <n v="2"/>
    <n v="5"/>
    <n v="778.25"/>
    <x v="53"/>
    <m/>
    <n v="557.6865165165168"/>
    <x v="0"/>
    <n v="1.9139139139139139"/>
    <n v="557.6865165165168"/>
  </r>
  <r>
    <x v="606"/>
    <d v="2023-07-17T00:00:00"/>
    <x v="7"/>
    <x v="0"/>
    <x v="0"/>
    <x v="2"/>
    <x v="0"/>
    <x v="4"/>
    <x v="0"/>
    <x v="1"/>
    <x v="0"/>
    <n v="1"/>
    <n v="2"/>
    <n v="5"/>
    <n v="1"/>
    <n v="609.5"/>
    <x v="46"/>
    <m/>
    <n v="557.6865165165168"/>
    <x v="0"/>
    <n v="1.9139139139139139"/>
    <n v="557.6865165165168"/>
  </r>
  <r>
    <x v="607"/>
    <d v="2019-05-03T00:00:00"/>
    <x v="2"/>
    <x v="1"/>
    <x v="2"/>
    <x v="1"/>
    <x v="0"/>
    <x v="5"/>
    <x v="0"/>
    <x v="1"/>
    <x v="0"/>
    <n v="2"/>
    <n v="2"/>
    <n v="2"/>
    <n v="5"/>
    <n v="666.67"/>
    <x v="18"/>
    <m/>
    <n v="557.6865165165168"/>
    <x v="0"/>
    <n v="1.9139139139139139"/>
    <n v="557.6865165165168"/>
  </r>
  <r>
    <x v="608"/>
    <d v="2022-03-25T00:00:00"/>
    <x v="7"/>
    <x v="0"/>
    <x v="2"/>
    <x v="1"/>
    <x v="0"/>
    <x v="4"/>
    <x v="0"/>
    <x v="0"/>
    <x v="0"/>
    <n v="1"/>
    <n v="5"/>
    <n v="5"/>
    <n v="5"/>
    <n v="797.05"/>
    <x v="62"/>
    <m/>
    <n v="557.6865165165168"/>
    <x v="0"/>
    <n v="1.9139139139139139"/>
    <n v="557.6865165165168"/>
  </r>
  <r>
    <x v="609"/>
    <d v="2020-04-07T00:00:00"/>
    <x v="1"/>
    <x v="0"/>
    <x v="1"/>
    <x v="0"/>
    <x v="0"/>
    <x v="4"/>
    <x v="0"/>
    <x v="1"/>
    <x v="0"/>
    <n v="1"/>
    <n v="4"/>
    <n v="5"/>
    <n v="3"/>
    <n v="518.55999999999995"/>
    <x v="56"/>
    <m/>
    <n v="557.6865165165168"/>
    <x v="0"/>
    <n v="1.9139139139139139"/>
    <n v="557.6865165165168"/>
  </r>
  <r>
    <x v="610"/>
    <d v="2021-03-10T00:00:00"/>
    <x v="3"/>
    <x v="0"/>
    <x v="1"/>
    <x v="1"/>
    <x v="0"/>
    <x v="6"/>
    <x v="0"/>
    <x v="0"/>
    <x v="0"/>
    <n v="1"/>
    <n v="1"/>
    <n v="3"/>
    <n v="5"/>
    <n v="426.82"/>
    <x v="24"/>
    <m/>
    <n v="557.6865165165168"/>
    <x v="0"/>
    <n v="1.9139139139139139"/>
    <n v="557.6865165165168"/>
  </r>
  <r>
    <x v="611"/>
    <d v="2019-08-04T00:00:00"/>
    <x v="1"/>
    <x v="0"/>
    <x v="2"/>
    <x v="1"/>
    <x v="0"/>
    <x v="3"/>
    <x v="0"/>
    <x v="0"/>
    <x v="0"/>
    <n v="5"/>
    <n v="1"/>
    <n v="4"/>
    <n v="2"/>
    <n v="150.04"/>
    <x v="59"/>
    <m/>
    <n v="557.6865165165168"/>
    <x v="0"/>
    <n v="1.9139139139139139"/>
    <n v="557.6865165165168"/>
  </r>
  <r>
    <x v="612"/>
    <d v="2021-04-11T00:00:00"/>
    <x v="4"/>
    <x v="1"/>
    <x v="1"/>
    <x v="0"/>
    <x v="0"/>
    <x v="8"/>
    <x v="0"/>
    <x v="1"/>
    <x v="0"/>
    <n v="5"/>
    <n v="3"/>
    <n v="1"/>
    <n v="3"/>
    <n v="308.20999999999998"/>
    <x v="32"/>
    <m/>
    <n v="557.6865165165168"/>
    <x v="0"/>
    <n v="1.9139139139139139"/>
    <n v="557.6865165165168"/>
  </r>
  <r>
    <x v="613"/>
    <d v="2019-06-16T00:00:00"/>
    <x v="9"/>
    <x v="0"/>
    <x v="2"/>
    <x v="0"/>
    <x v="0"/>
    <x v="5"/>
    <x v="0"/>
    <x v="1"/>
    <x v="0"/>
    <n v="1"/>
    <n v="4"/>
    <n v="2"/>
    <n v="4"/>
    <n v="766.77"/>
    <x v="46"/>
    <m/>
    <n v="557.6865165165168"/>
    <x v="0"/>
    <n v="1.9139139139139139"/>
    <n v="557.6865165165168"/>
  </r>
  <r>
    <x v="614"/>
    <d v="2020-10-08T00:00:00"/>
    <x v="2"/>
    <x v="1"/>
    <x v="0"/>
    <x v="1"/>
    <x v="0"/>
    <x v="3"/>
    <x v="0"/>
    <x v="0"/>
    <x v="0"/>
    <n v="1"/>
    <n v="4"/>
    <n v="1"/>
    <n v="4"/>
    <n v="172.19"/>
    <x v="61"/>
    <m/>
    <n v="557.6865165165168"/>
    <x v="0"/>
    <n v="1.9139139139139139"/>
    <n v="557.6865165165168"/>
  </r>
  <r>
    <x v="615"/>
    <d v="2021-08-18T00:00:00"/>
    <x v="4"/>
    <x v="0"/>
    <x v="1"/>
    <x v="2"/>
    <x v="0"/>
    <x v="1"/>
    <x v="0"/>
    <x v="1"/>
    <x v="0"/>
    <n v="2"/>
    <n v="3"/>
    <n v="3"/>
    <n v="1"/>
    <n v="742.55"/>
    <x v="18"/>
    <m/>
    <n v="557.6865165165168"/>
    <x v="0"/>
    <n v="1.9139139139139139"/>
    <n v="557.6865165165168"/>
  </r>
  <r>
    <x v="616"/>
    <d v="2020-03-16T00:00:00"/>
    <x v="4"/>
    <x v="0"/>
    <x v="0"/>
    <x v="1"/>
    <x v="0"/>
    <x v="13"/>
    <x v="0"/>
    <x v="0"/>
    <x v="0"/>
    <n v="4"/>
    <n v="5"/>
    <n v="1"/>
    <n v="2"/>
    <n v="231.28"/>
    <x v="39"/>
    <m/>
    <n v="557.6865165165168"/>
    <x v="0"/>
    <n v="1.9139139139139139"/>
    <n v="557.6865165165168"/>
  </r>
  <r>
    <x v="617"/>
    <d v="2019-01-24T00:00:00"/>
    <x v="3"/>
    <x v="0"/>
    <x v="1"/>
    <x v="1"/>
    <x v="0"/>
    <x v="3"/>
    <x v="0"/>
    <x v="1"/>
    <x v="0"/>
    <n v="4"/>
    <n v="5"/>
    <n v="3"/>
    <n v="5"/>
    <n v="124.54"/>
    <x v="0"/>
    <m/>
    <n v="557.6865165165168"/>
    <x v="0"/>
    <n v="1.9139139139139139"/>
    <n v="557.6865165165168"/>
  </r>
  <r>
    <x v="618"/>
    <d v="2022-06-11T00:00:00"/>
    <x v="1"/>
    <x v="1"/>
    <x v="1"/>
    <x v="0"/>
    <x v="0"/>
    <x v="4"/>
    <x v="0"/>
    <x v="0"/>
    <x v="0"/>
    <n v="4"/>
    <n v="5"/>
    <n v="4"/>
    <n v="5"/>
    <n v="898.37"/>
    <x v="11"/>
    <m/>
    <n v="557.6865165165168"/>
    <x v="0"/>
    <n v="1.9139139139139139"/>
    <n v="557.6865165165168"/>
  </r>
  <r>
    <x v="619"/>
    <d v="2022-07-02T00:00:00"/>
    <x v="6"/>
    <x v="0"/>
    <x v="1"/>
    <x v="2"/>
    <x v="0"/>
    <x v="3"/>
    <x v="0"/>
    <x v="0"/>
    <x v="0"/>
    <n v="1"/>
    <n v="1"/>
    <n v="4"/>
    <n v="2"/>
    <n v="764.36"/>
    <x v="41"/>
    <m/>
    <n v="557.6865165165168"/>
    <x v="0"/>
    <n v="1.9139139139139139"/>
    <n v="557.6865165165168"/>
  </r>
  <r>
    <x v="620"/>
    <d v="2019-09-08T00:00:00"/>
    <x v="4"/>
    <x v="1"/>
    <x v="1"/>
    <x v="1"/>
    <x v="0"/>
    <x v="8"/>
    <x v="0"/>
    <x v="0"/>
    <x v="0"/>
    <n v="4"/>
    <n v="1"/>
    <n v="1"/>
    <n v="5"/>
    <n v="786.57"/>
    <x v="14"/>
    <m/>
    <n v="557.6865165165168"/>
    <x v="0"/>
    <n v="1.9139139139139139"/>
    <n v="557.6865165165168"/>
  </r>
  <r>
    <x v="621"/>
    <d v="2022-07-10T00:00:00"/>
    <x v="8"/>
    <x v="0"/>
    <x v="1"/>
    <x v="1"/>
    <x v="0"/>
    <x v="6"/>
    <x v="0"/>
    <x v="0"/>
    <x v="0"/>
    <n v="4"/>
    <n v="1"/>
    <n v="1"/>
    <n v="3"/>
    <n v="668.05"/>
    <x v="42"/>
    <m/>
    <n v="557.6865165165168"/>
    <x v="0"/>
    <n v="1.9139139139139139"/>
    <n v="557.6865165165168"/>
  </r>
  <r>
    <x v="622"/>
    <d v="2022-04-24T00:00:00"/>
    <x v="6"/>
    <x v="0"/>
    <x v="0"/>
    <x v="2"/>
    <x v="0"/>
    <x v="3"/>
    <x v="0"/>
    <x v="0"/>
    <x v="0"/>
    <n v="3"/>
    <n v="3"/>
    <n v="5"/>
    <n v="2"/>
    <n v="956.92"/>
    <x v="51"/>
    <m/>
    <n v="557.6865165165168"/>
    <x v="0"/>
    <n v="1.9139139139139139"/>
    <n v="557.6865165165168"/>
  </r>
  <r>
    <x v="623"/>
    <d v="2020-03-31T00:00:00"/>
    <x v="2"/>
    <x v="0"/>
    <x v="1"/>
    <x v="0"/>
    <x v="0"/>
    <x v="3"/>
    <x v="0"/>
    <x v="0"/>
    <x v="0"/>
    <n v="1"/>
    <n v="3"/>
    <n v="3"/>
    <n v="1"/>
    <n v="912.27"/>
    <x v="35"/>
    <m/>
    <n v="557.6865165165168"/>
    <x v="0"/>
    <n v="1.9139139139139139"/>
    <n v="557.6865165165168"/>
  </r>
  <r>
    <x v="624"/>
    <d v="2019-03-23T00:00:00"/>
    <x v="9"/>
    <x v="0"/>
    <x v="0"/>
    <x v="1"/>
    <x v="0"/>
    <x v="4"/>
    <x v="0"/>
    <x v="1"/>
    <x v="0"/>
    <n v="4"/>
    <n v="1"/>
    <n v="3"/>
    <n v="4"/>
    <n v="881.71"/>
    <x v="23"/>
    <m/>
    <n v="557.6865165165168"/>
    <x v="0"/>
    <n v="1.9139139139139139"/>
    <n v="557.6865165165168"/>
  </r>
  <r>
    <x v="625"/>
    <d v="2019-03-09T00:00:00"/>
    <x v="7"/>
    <x v="1"/>
    <x v="1"/>
    <x v="1"/>
    <x v="0"/>
    <x v="4"/>
    <x v="0"/>
    <x v="1"/>
    <x v="0"/>
    <n v="3"/>
    <n v="4"/>
    <n v="4"/>
    <n v="4"/>
    <n v="557.67999999999995"/>
    <x v="41"/>
    <m/>
    <n v="557.6865165165168"/>
    <x v="0"/>
    <n v="1.9139139139139139"/>
    <n v="557.6865165165168"/>
  </r>
  <r>
    <x v="626"/>
    <d v="2019-02-21T00:00:00"/>
    <x v="3"/>
    <x v="1"/>
    <x v="1"/>
    <x v="0"/>
    <x v="0"/>
    <x v="3"/>
    <x v="0"/>
    <x v="1"/>
    <x v="0"/>
    <n v="4"/>
    <n v="5"/>
    <n v="1"/>
    <n v="4"/>
    <n v="271.68"/>
    <x v="23"/>
    <m/>
    <n v="557.6865165165168"/>
    <x v="0"/>
    <n v="1.9139139139139139"/>
    <n v="557.6865165165168"/>
  </r>
  <r>
    <x v="627"/>
    <d v="2019-10-04T00:00:00"/>
    <x v="5"/>
    <x v="0"/>
    <x v="1"/>
    <x v="2"/>
    <x v="0"/>
    <x v="6"/>
    <x v="0"/>
    <x v="1"/>
    <x v="0"/>
    <n v="1"/>
    <n v="5"/>
    <n v="3"/>
    <n v="2"/>
    <n v="299.68"/>
    <x v="28"/>
    <m/>
    <n v="557.6865165165168"/>
    <x v="0"/>
    <n v="1.9139139139139139"/>
    <n v="557.6865165165168"/>
  </r>
  <r>
    <x v="628"/>
    <d v="2019-11-24T00:00:00"/>
    <x v="4"/>
    <x v="0"/>
    <x v="2"/>
    <x v="0"/>
    <x v="0"/>
    <x v="4"/>
    <x v="0"/>
    <x v="0"/>
    <x v="0"/>
    <n v="4"/>
    <n v="4"/>
    <n v="5"/>
    <n v="5"/>
    <n v="440.28"/>
    <x v="17"/>
    <m/>
    <n v="557.6865165165168"/>
    <x v="0"/>
    <n v="1.9139139139139139"/>
    <n v="557.6865165165168"/>
  </r>
  <r>
    <x v="629"/>
    <d v="2020-08-17T00:00:00"/>
    <x v="0"/>
    <x v="0"/>
    <x v="2"/>
    <x v="2"/>
    <x v="0"/>
    <x v="16"/>
    <x v="0"/>
    <x v="0"/>
    <x v="0"/>
    <n v="3"/>
    <n v="3"/>
    <n v="4"/>
    <n v="4"/>
    <n v="553.83000000000004"/>
    <x v="22"/>
    <m/>
    <n v="557.6865165165168"/>
    <x v="0"/>
    <n v="1.9139139139139139"/>
    <n v="557.6865165165168"/>
  </r>
  <r>
    <x v="630"/>
    <d v="2021-03-16T00:00:00"/>
    <x v="1"/>
    <x v="0"/>
    <x v="2"/>
    <x v="0"/>
    <x v="0"/>
    <x v="1"/>
    <x v="0"/>
    <x v="0"/>
    <x v="0"/>
    <n v="1"/>
    <n v="1"/>
    <n v="4"/>
    <n v="1"/>
    <n v="428.9"/>
    <x v="21"/>
    <m/>
    <n v="557.6865165165168"/>
    <x v="0"/>
    <n v="1.9139139139139139"/>
    <n v="557.6865165165168"/>
  </r>
  <r>
    <x v="631"/>
    <d v="2021-11-16T00:00:00"/>
    <x v="8"/>
    <x v="0"/>
    <x v="0"/>
    <x v="0"/>
    <x v="0"/>
    <x v="3"/>
    <x v="0"/>
    <x v="0"/>
    <x v="0"/>
    <n v="2"/>
    <n v="1"/>
    <n v="2"/>
    <n v="3"/>
    <n v="444.4"/>
    <x v="51"/>
    <m/>
    <n v="557.6865165165168"/>
    <x v="0"/>
    <n v="1.9139139139139139"/>
    <n v="557.6865165165168"/>
  </r>
  <r>
    <x v="632"/>
    <d v="2022-05-03T00:00:00"/>
    <x v="6"/>
    <x v="0"/>
    <x v="1"/>
    <x v="2"/>
    <x v="0"/>
    <x v="4"/>
    <x v="0"/>
    <x v="0"/>
    <x v="0"/>
    <n v="2"/>
    <n v="3"/>
    <n v="1"/>
    <n v="4"/>
    <n v="254.38"/>
    <x v="36"/>
    <m/>
    <n v="557.6865165165168"/>
    <x v="0"/>
    <n v="1.9139139139139139"/>
    <n v="557.6865165165168"/>
  </r>
  <r>
    <x v="633"/>
    <d v="2019-12-24T00:00:00"/>
    <x v="2"/>
    <x v="0"/>
    <x v="1"/>
    <x v="1"/>
    <x v="0"/>
    <x v="6"/>
    <x v="0"/>
    <x v="0"/>
    <x v="0"/>
    <n v="3"/>
    <n v="2"/>
    <n v="3"/>
    <n v="1"/>
    <n v="256.20999999999998"/>
    <x v="29"/>
    <m/>
    <n v="557.6865165165168"/>
    <x v="0"/>
    <n v="1.9139139139139139"/>
    <n v="557.6865165165168"/>
  </r>
  <r>
    <x v="634"/>
    <d v="2021-10-21T00:00:00"/>
    <x v="5"/>
    <x v="0"/>
    <x v="0"/>
    <x v="2"/>
    <x v="0"/>
    <x v="1"/>
    <x v="0"/>
    <x v="1"/>
    <x v="0"/>
    <n v="4"/>
    <n v="3"/>
    <n v="4"/>
    <n v="2"/>
    <n v="756.19"/>
    <x v="13"/>
    <m/>
    <n v="557.6865165165168"/>
    <x v="0"/>
    <n v="1.9139139139139139"/>
    <n v="557.6865165165168"/>
  </r>
  <r>
    <x v="635"/>
    <d v="2018-09-08T00:00:00"/>
    <x v="6"/>
    <x v="1"/>
    <x v="2"/>
    <x v="0"/>
    <x v="0"/>
    <x v="6"/>
    <x v="0"/>
    <x v="1"/>
    <x v="0"/>
    <n v="3"/>
    <n v="3"/>
    <n v="2"/>
    <n v="4"/>
    <n v="500.45"/>
    <x v="9"/>
    <m/>
    <n v="557.6865165165168"/>
    <x v="0"/>
    <n v="1.9139139139139139"/>
    <n v="557.6865165165168"/>
  </r>
  <r>
    <x v="636"/>
    <d v="2019-02-26T00:00:00"/>
    <x v="2"/>
    <x v="0"/>
    <x v="1"/>
    <x v="1"/>
    <x v="0"/>
    <x v="3"/>
    <x v="0"/>
    <x v="1"/>
    <x v="0"/>
    <n v="5"/>
    <n v="1"/>
    <n v="3"/>
    <n v="2"/>
    <n v="500.83"/>
    <x v="43"/>
    <m/>
    <n v="557.6865165165168"/>
    <x v="0"/>
    <n v="1.9139139139139139"/>
    <n v="557.6865165165168"/>
  </r>
  <r>
    <x v="637"/>
    <d v="2023-04-21T00:00:00"/>
    <x v="4"/>
    <x v="0"/>
    <x v="2"/>
    <x v="2"/>
    <x v="0"/>
    <x v="3"/>
    <x v="0"/>
    <x v="0"/>
    <x v="0"/>
    <n v="4"/>
    <n v="2"/>
    <n v="4"/>
    <n v="1"/>
    <n v="773.8"/>
    <x v="59"/>
    <m/>
    <n v="557.6865165165168"/>
    <x v="0"/>
    <n v="1.9139139139139139"/>
    <n v="557.6865165165168"/>
  </r>
  <r>
    <x v="638"/>
    <d v="2019-09-19T00:00:00"/>
    <x v="0"/>
    <x v="1"/>
    <x v="1"/>
    <x v="2"/>
    <x v="0"/>
    <x v="4"/>
    <x v="0"/>
    <x v="0"/>
    <x v="0"/>
    <n v="1"/>
    <n v="1"/>
    <n v="1"/>
    <n v="2"/>
    <n v="768.06"/>
    <x v="6"/>
    <m/>
    <n v="557.6865165165168"/>
    <x v="0"/>
    <n v="1.9139139139139139"/>
    <n v="557.6865165165168"/>
  </r>
  <r>
    <x v="639"/>
    <d v="2020-12-23T00:00:00"/>
    <x v="7"/>
    <x v="0"/>
    <x v="0"/>
    <x v="1"/>
    <x v="0"/>
    <x v="19"/>
    <x v="0"/>
    <x v="0"/>
    <x v="0"/>
    <n v="1"/>
    <n v="5"/>
    <n v="4"/>
    <n v="3"/>
    <n v="777.7"/>
    <x v="3"/>
    <m/>
    <n v="557.6865165165168"/>
    <x v="0"/>
    <n v="1.9139139139139139"/>
    <n v="557.6865165165168"/>
  </r>
  <r>
    <x v="640"/>
    <d v="2019-03-29T00:00:00"/>
    <x v="1"/>
    <x v="0"/>
    <x v="2"/>
    <x v="2"/>
    <x v="0"/>
    <x v="8"/>
    <x v="0"/>
    <x v="0"/>
    <x v="0"/>
    <n v="4"/>
    <n v="4"/>
    <n v="4"/>
    <n v="2"/>
    <n v="943.05"/>
    <x v="46"/>
    <m/>
    <n v="557.6865165165168"/>
    <x v="0"/>
    <n v="1.9139139139139139"/>
    <n v="557.6865165165168"/>
  </r>
  <r>
    <x v="641"/>
    <d v="2021-05-15T00:00:00"/>
    <x v="6"/>
    <x v="1"/>
    <x v="0"/>
    <x v="2"/>
    <x v="0"/>
    <x v="1"/>
    <x v="0"/>
    <x v="0"/>
    <x v="0"/>
    <n v="1"/>
    <n v="5"/>
    <n v="5"/>
    <n v="4"/>
    <n v="475.91"/>
    <x v="1"/>
    <m/>
    <n v="557.6865165165168"/>
    <x v="0"/>
    <n v="1.9139139139139139"/>
    <n v="557.6865165165168"/>
  </r>
  <r>
    <x v="642"/>
    <d v="2022-03-14T00:00:00"/>
    <x v="2"/>
    <x v="1"/>
    <x v="1"/>
    <x v="2"/>
    <x v="0"/>
    <x v="1"/>
    <x v="0"/>
    <x v="0"/>
    <x v="0"/>
    <n v="1"/>
    <n v="2"/>
    <n v="4"/>
    <n v="3"/>
    <n v="107.14"/>
    <x v="8"/>
    <m/>
    <n v="557.6865165165168"/>
    <x v="0"/>
    <n v="1.9139139139139139"/>
    <n v="557.6865165165168"/>
  </r>
  <r>
    <x v="643"/>
    <d v="2021-12-06T00:00:00"/>
    <x v="4"/>
    <x v="1"/>
    <x v="2"/>
    <x v="0"/>
    <x v="0"/>
    <x v="3"/>
    <x v="0"/>
    <x v="0"/>
    <x v="0"/>
    <n v="4"/>
    <n v="1"/>
    <n v="2"/>
    <n v="1"/>
    <n v="271.49"/>
    <x v="17"/>
    <m/>
    <n v="557.6865165165168"/>
    <x v="0"/>
    <n v="1.9139139139139139"/>
    <n v="557.6865165165168"/>
  </r>
  <r>
    <x v="644"/>
    <d v="2021-10-27T00:00:00"/>
    <x v="0"/>
    <x v="0"/>
    <x v="1"/>
    <x v="1"/>
    <x v="0"/>
    <x v="6"/>
    <x v="0"/>
    <x v="1"/>
    <x v="0"/>
    <n v="5"/>
    <n v="4"/>
    <n v="4"/>
    <n v="2"/>
    <n v="524.23"/>
    <x v="36"/>
    <m/>
    <n v="557.6865165165168"/>
    <x v="0"/>
    <n v="1.9139139139139139"/>
    <n v="557.6865165165168"/>
  </r>
  <r>
    <x v="645"/>
    <d v="2023-04-01T00:00:00"/>
    <x v="7"/>
    <x v="0"/>
    <x v="1"/>
    <x v="1"/>
    <x v="0"/>
    <x v="4"/>
    <x v="0"/>
    <x v="1"/>
    <x v="0"/>
    <n v="2"/>
    <n v="5"/>
    <n v="2"/>
    <n v="3"/>
    <n v="535.88"/>
    <x v="24"/>
    <m/>
    <n v="557.6865165165168"/>
    <x v="0"/>
    <n v="1.9139139139139139"/>
    <n v="557.6865165165168"/>
  </r>
  <r>
    <x v="646"/>
    <d v="2019-05-29T00:00:00"/>
    <x v="1"/>
    <x v="0"/>
    <x v="1"/>
    <x v="0"/>
    <x v="0"/>
    <x v="4"/>
    <x v="0"/>
    <x v="1"/>
    <x v="0"/>
    <n v="3"/>
    <n v="3"/>
    <n v="5"/>
    <n v="5"/>
    <n v="270.92"/>
    <x v="60"/>
    <m/>
    <n v="557.6865165165168"/>
    <x v="0"/>
    <n v="1.9139139139139139"/>
    <n v="557.6865165165168"/>
  </r>
  <r>
    <x v="647"/>
    <d v="2019-07-12T00:00:00"/>
    <x v="8"/>
    <x v="0"/>
    <x v="1"/>
    <x v="2"/>
    <x v="0"/>
    <x v="5"/>
    <x v="0"/>
    <x v="1"/>
    <x v="0"/>
    <n v="4"/>
    <n v="5"/>
    <n v="1"/>
    <n v="4"/>
    <n v="155.13999999999999"/>
    <x v="16"/>
    <m/>
    <n v="557.6865165165168"/>
    <x v="0"/>
    <n v="1.9139139139139139"/>
    <n v="557.6865165165168"/>
  </r>
  <r>
    <x v="648"/>
    <d v="2018-08-10T00:00:00"/>
    <x v="3"/>
    <x v="0"/>
    <x v="0"/>
    <x v="1"/>
    <x v="0"/>
    <x v="8"/>
    <x v="0"/>
    <x v="1"/>
    <x v="0"/>
    <n v="2"/>
    <n v="4"/>
    <n v="2"/>
    <n v="1"/>
    <n v="930.06"/>
    <x v="60"/>
    <m/>
    <n v="557.6865165165168"/>
    <x v="0"/>
    <n v="1.9139139139139139"/>
    <n v="557.6865165165168"/>
  </r>
  <r>
    <x v="649"/>
    <d v="2021-09-29T00:00:00"/>
    <x v="9"/>
    <x v="0"/>
    <x v="2"/>
    <x v="0"/>
    <x v="0"/>
    <x v="6"/>
    <x v="0"/>
    <x v="0"/>
    <x v="0"/>
    <n v="5"/>
    <n v="3"/>
    <n v="2"/>
    <n v="1"/>
    <n v="949.81"/>
    <x v="29"/>
    <m/>
    <n v="557.6865165165168"/>
    <x v="0"/>
    <n v="1.9139139139139139"/>
    <n v="557.6865165165168"/>
  </r>
  <r>
    <x v="650"/>
    <d v="2021-08-05T00:00:00"/>
    <x v="5"/>
    <x v="0"/>
    <x v="0"/>
    <x v="1"/>
    <x v="0"/>
    <x v="4"/>
    <x v="0"/>
    <x v="0"/>
    <x v="0"/>
    <n v="5"/>
    <n v="5"/>
    <n v="2"/>
    <n v="1"/>
    <n v="635.30999999999995"/>
    <x v="5"/>
    <m/>
    <n v="557.6865165165168"/>
    <x v="0"/>
    <n v="1.9139139139139139"/>
    <n v="557.6865165165168"/>
  </r>
  <r>
    <x v="651"/>
    <d v="2023-08-02T00:00:00"/>
    <x v="6"/>
    <x v="0"/>
    <x v="1"/>
    <x v="2"/>
    <x v="0"/>
    <x v="9"/>
    <x v="0"/>
    <x v="0"/>
    <x v="0"/>
    <n v="4"/>
    <n v="4"/>
    <n v="4"/>
    <n v="3"/>
    <n v="675.04"/>
    <x v="44"/>
    <m/>
    <n v="557.6865165165168"/>
    <x v="0"/>
    <n v="1.9139139139139139"/>
    <n v="557.6865165165168"/>
  </r>
  <r>
    <x v="652"/>
    <d v="2018-09-02T00:00:00"/>
    <x v="2"/>
    <x v="0"/>
    <x v="0"/>
    <x v="1"/>
    <x v="0"/>
    <x v="4"/>
    <x v="0"/>
    <x v="0"/>
    <x v="0"/>
    <n v="2"/>
    <n v="4"/>
    <n v="2"/>
    <n v="3"/>
    <n v="563.38"/>
    <x v="25"/>
    <m/>
    <n v="557.6865165165168"/>
    <x v="0"/>
    <n v="1.9139139139139139"/>
    <n v="557.6865165165168"/>
  </r>
  <r>
    <x v="653"/>
    <d v="2019-10-13T00:00:00"/>
    <x v="4"/>
    <x v="0"/>
    <x v="2"/>
    <x v="2"/>
    <x v="0"/>
    <x v="13"/>
    <x v="0"/>
    <x v="0"/>
    <x v="0"/>
    <n v="5"/>
    <n v="3"/>
    <n v="2"/>
    <n v="4"/>
    <n v="750.25"/>
    <x v="56"/>
    <m/>
    <n v="557.6865165165168"/>
    <x v="0"/>
    <n v="1.9139139139139139"/>
    <n v="557.6865165165168"/>
  </r>
  <r>
    <x v="654"/>
    <d v="2020-09-24T00:00:00"/>
    <x v="3"/>
    <x v="0"/>
    <x v="0"/>
    <x v="2"/>
    <x v="0"/>
    <x v="12"/>
    <x v="0"/>
    <x v="1"/>
    <x v="0"/>
    <n v="3"/>
    <n v="3"/>
    <n v="4"/>
    <n v="2"/>
    <n v="401.53"/>
    <x v="61"/>
    <m/>
    <n v="557.6865165165168"/>
    <x v="0"/>
    <n v="1.9139139139139139"/>
    <n v="557.6865165165168"/>
  </r>
  <r>
    <x v="655"/>
    <d v="2023-08-06T00:00:00"/>
    <x v="7"/>
    <x v="0"/>
    <x v="0"/>
    <x v="0"/>
    <x v="0"/>
    <x v="4"/>
    <x v="0"/>
    <x v="1"/>
    <x v="0"/>
    <n v="3"/>
    <n v="2"/>
    <n v="2"/>
    <n v="3"/>
    <n v="894.88"/>
    <x v="35"/>
    <m/>
    <n v="557.6865165165168"/>
    <x v="0"/>
    <n v="1.9139139139139139"/>
    <n v="557.6865165165168"/>
  </r>
  <r>
    <x v="656"/>
    <d v="2019-06-11T00:00:00"/>
    <x v="9"/>
    <x v="1"/>
    <x v="1"/>
    <x v="2"/>
    <x v="0"/>
    <x v="3"/>
    <x v="0"/>
    <x v="0"/>
    <x v="0"/>
    <n v="1"/>
    <n v="3"/>
    <n v="5"/>
    <n v="2"/>
    <n v="247.58"/>
    <x v="25"/>
    <m/>
    <n v="557.6865165165168"/>
    <x v="0"/>
    <n v="1.9139139139139139"/>
    <n v="557.6865165165168"/>
  </r>
  <r>
    <x v="657"/>
    <d v="2019-02-14T00:00:00"/>
    <x v="2"/>
    <x v="0"/>
    <x v="2"/>
    <x v="1"/>
    <x v="0"/>
    <x v="13"/>
    <x v="0"/>
    <x v="0"/>
    <x v="0"/>
    <n v="4"/>
    <n v="1"/>
    <n v="3"/>
    <n v="3"/>
    <n v="529"/>
    <x v="25"/>
    <m/>
    <n v="557.6865165165168"/>
    <x v="0"/>
    <n v="1.9139139139139139"/>
    <n v="557.6865165165168"/>
  </r>
  <r>
    <x v="658"/>
    <d v="2022-03-17T00:00:00"/>
    <x v="6"/>
    <x v="0"/>
    <x v="2"/>
    <x v="0"/>
    <x v="0"/>
    <x v="4"/>
    <x v="0"/>
    <x v="0"/>
    <x v="0"/>
    <n v="3"/>
    <n v="2"/>
    <n v="5"/>
    <n v="5"/>
    <n v="483.99"/>
    <x v="64"/>
    <m/>
    <n v="557.6865165165168"/>
    <x v="0"/>
    <n v="1.9139139139139139"/>
    <n v="557.6865165165168"/>
  </r>
  <r>
    <x v="659"/>
    <d v="2020-08-05T00:00:00"/>
    <x v="8"/>
    <x v="0"/>
    <x v="2"/>
    <x v="1"/>
    <x v="0"/>
    <x v="1"/>
    <x v="0"/>
    <x v="0"/>
    <x v="0"/>
    <n v="3"/>
    <n v="4"/>
    <n v="4"/>
    <n v="5"/>
    <n v="797.35"/>
    <x v="52"/>
    <m/>
    <n v="557.6865165165168"/>
    <x v="0"/>
    <n v="1.9139139139139139"/>
    <n v="557.6865165165168"/>
  </r>
  <r>
    <x v="660"/>
    <d v="2022-08-23T00:00:00"/>
    <x v="1"/>
    <x v="0"/>
    <x v="2"/>
    <x v="1"/>
    <x v="0"/>
    <x v="4"/>
    <x v="0"/>
    <x v="1"/>
    <x v="0"/>
    <n v="5"/>
    <n v="3"/>
    <n v="1"/>
    <n v="4"/>
    <n v="707.59"/>
    <x v="7"/>
    <m/>
    <n v="557.6865165165168"/>
    <x v="0"/>
    <n v="1.9139139139139139"/>
    <n v="557.6865165165168"/>
  </r>
  <r>
    <x v="661"/>
    <d v="2023-01-12T00:00:00"/>
    <x v="0"/>
    <x v="0"/>
    <x v="1"/>
    <x v="1"/>
    <x v="0"/>
    <x v="6"/>
    <x v="0"/>
    <x v="0"/>
    <x v="0"/>
    <n v="1"/>
    <n v="1"/>
    <n v="5"/>
    <n v="2"/>
    <n v="564.48"/>
    <x v="35"/>
    <m/>
    <n v="557.6865165165168"/>
    <x v="0"/>
    <n v="1.9139139139139139"/>
    <n v="557.6865165165168"/>
  </r>
  <r>
    <x v="662"/>
    <d v="2020-04-14T00:00:00"/>
    <x v="1"/>
    <x v="1"/>
    <x v="2"/>
    <x v="1"/>
    <x v="0"/>
    <x v="4"/>
    <x v="0"/>
    <x v="0"/>
    <x v="0"/>
    <n v="3"/>
    <n v="4"/>
    <n v="2"/>
    <n v="4"/>
    <n v="555.35"/>
    <x v="45"/>
    <m/>
    <n v="557.6865165165168"/>
    <x v="0"/>
    <n v="1.9139139139139139"/>
    <n v="557.6865165165168"/>
  </r>
  <r>
    <x v="663"/>
    <d v="2021-09-27T00:00:00"/>
    <x v="8"/>
    <x v="1"/>
    <x v="1"/>
    <x v="0"/>
    <x v="0"/>
    <x v="4"/>
    <x v="0"/>
    <x v="0"/>
    <x v="0"/>
    <n v="1"/>
    <n v="3"/>
    <n v="2"/>
    <n v="3"/>
    <n v="338.48"/>
    <x v="48"/>
    <m/>
    <n v="557.6865165165168"/>
    <x v="0"/>
    <n v="1.9139139139139139"/>
    <n v="557.6865165165168"/>
  </r>
  <r>
    <x v="664"/>
    <d v="2018-11-17T00:00:00"/>
    <x v="6"/>
    <x v="1"/>
    <x v="0"/>
    <x v="1"/>
    <x v="0"/>
    <x v="0"/>
    <x v="0"/>
    <x v="0"/>
    <x v="0"/>
    <n v="2"/>
    <n v="3"/>
    <n v="1"/>
    <n v="1"/>
    <n v="339.01"/>
    <x v="14"/>
    <m/>
    <n v="557.6865165165168"/>
    <x v="0"/>
    <n v="1.9139139139139139"/>
    <n v="557.6865165165168"/>
  </r>
  <r>
    <x v="665"/>
    <d v="2019-07-22T00:00:00"/>
    <x v="2"/>
    <x v="1"/>
    <x v="0"/>
    <x v="1"/>
    <x v="0"/>
    <x v="18"/>
    <x v="0"/>
    <x v="1"/>
    <x v="0"/>
    <n v="1"/>
    <n v="5"/>
    <n v="2"/>
    <n v="5"/>
    <n v="939.49"/>
    <x v="52"/>
    <m/>
    <n v="557.6865165165168"/>
    <x v="0"/>
    <n v="1.9139139139139139"/>
    <n v="557.6865165165168"/>
  </r>
  <r>
    <x v="666"/>
    <d v="2019-02-10T00:00:00"/>
    <x v="9"/>
    <x v="0"/>
    <x v="2"/>
    <x v="1"/>
    <x v="0"/>
    <x v="13"/>
    <x v="0"/>
    <x v="1"/>
    <x v="0"/>
    <n v="1"/>
    <n v="4"/>
    <n v="2"/>
    <n v="1"/>
    <n v="276.47000000000003"/>
    <x v="3"/>
    <m/>
    <n v="557.6865165165168"/>
    <x v="0"/>
    <n v="1.9139139139139139"/>
    <n v="557.6865165165168"/>
  </r>
  <r>
    <x v="667"/>
    <d v="2018-11-22T00:00:00"/>
    <x v="7"/>
    <x v="1"/>
    <x v="1"/>
    <x v="1"/>
    <x v="0"/>
    <x v="4"/>
    <x v="0"/>
    <x v="1"/>
    <x v="0"/>
    <n v="2"/>
    <n v="4"/>
    <n v="4"/>
    <n v="3"/>
    <n v="154.71"/>
    <x v="35"/>
    <m/>
    <n v="557.6865165165168"/>
    <x v="0"/>
    <n v="1.9139139139139139"/>
    <n v="557.6865165165168"/>
  </r>
  <r>
    <x v="668"/>
    <d v="2023-04-23T00:00:00"/>
    <x v="3"/>
    <x v="0"/>
    <x v="2"/>
    <x v="1"/>
    <x v="0"/>
    <x v="8"/>
    <x v="0"/>
    <x v="1"/>
    <x v="0"/>
    <n v="1"/>
    <n v="2"/>
    <n v="4"/>
    <n v="3"/>
    <n v="674.24"/>
    <x v="7"/>
    <m/>
    <n v="557.6865165165168"/>
    <x v="0"/>
    <n v="1.9139139139139139"/>
    <n v="557.6865165165168"/>
  </r>
  <r>
    <x v="669"/>
    <d v="2022-12-26T00:00:00"/>
    <x v="5"/>
    <x v="0"/>
    <x v="2"/>
    <x v="2"/>
    <x v="0"/>
    <x v="3"/>
    <x v="0"/>
    <x v="0"/>
    <x v="0"/>
    <n v="4"/>
    <n v="2"/>
    <n v="3"/>
    <n v="2"/>
    <n v="137.96"/>
    <x v="51"/>
    <m/>
    <n v="557.6865165165168"/>
    <x v="0"/>
    <n v="1.9139139139139139"/>
    <n v="557.6865165165168"/>
  </r>
  <r>
    <x v="670"/>
    <d v="2020-06-14T00:00:00"/>
    <x v="9"/>
    <x v="0"/>
    <x v="0"/>
    <x v="2"/>
    <x v="0"/>
    <x v="17"/>
    <x v="0"/>
    <x v="0"/>
    <x v="0"/>
    <n v="3"/>
    <n v="4"/>
    <n v="4"/>
    <n v="5"/>
    <n v="926.85"/>
    <x v="59"/>
    <m/>
    <n v="557.6865165165168"/>
    <x v="0"/>
    <n v="1.9139139139139139"/>
    <n v="557.6865165165168"/>
  </r>
  <r>
    <x v="671"/>
    <d v="2022-03-29T00:00:00"/>
    <x v="5"/>
    <x v="0"/>
    <x v="1"/>
    <x v="0"/>
    <x v="0"/>
    <x v="3"/>
    <x v="0"/>
    <x v="0"/>
    <x v="0"/>
    <n v="3"/>
    <n v="3"/>
    <n v="2"/>
    <n v="1"/>
    <n v="846.55"/>
    <x v="52"/>
    <m/>
    <n v="557.6865165165168"/>
    <x v="0"/>
    <n v="1.9139139139139139"/>
    <n v="557.6865165165168"/>
  </r>
  <r>
    <x v="672"/>
    <d v="2022-12-18T00:00:00"/>
    <x v="6"/>
    <x v="0"/>
    <x v="0"/>
    <x v="1"/>
    <x v="0"/>
    <x v="9"/>
    <x v="0"/>
    <x v="0"/>
    <x v="0"/>
    <n v="1"/>
    <n v="2"/>
    <n v="3"/>
    <n v="3"/>
    <n v="734.77"/>
    <x v="18"/>
    <m/>
    <n v="557.6865165165168"/>
    <x v="0"/>
    <n v="1.9139139139139139"/>
    <n v="557.6865165165168"/>
  </r>
  <r>
    <x v="673"/>
    <d v="2019-03-21T00:00:00"/>
    <x v="2"/>
    <x v="0"/>
    <x v="2"/>
    <x v="1"/>
    <x v="0"/>
    <x v="2"/>
    <x v="0"/>
    <x v="0"/>
    <x v="0"/>
    <n v="5"/>
    <n v="5"/>
    <n v="5"/>
    <n v="3"/>
    <n v="315.08999999999997"/>
    <x v="26"/>
    <m/>
    <n v="557.6865165165168"/>
    <x v="0"/>
    <n v="1.9139139139139139"/>
    <n v="557.6865165165168"/>
  </r>
  <r>
    <x v="674"/>
    <d v="2021-02-08T00:00:00"/>
    <x v="4"/>
    <x v="0"/>
    <x v="1"/>
    <x v="0"/>
    <x v="0"/>
    <x v="4"/>
    <x v="0"/>
    <x v="0"/>
    <x v="0"/>
    <n v="3"/>
    <n v="3"/>
    <n v="1"/>
    <n v="3"/>
    <n v="686.05"/>
    <x v="3"/>
    <m/>
    <n v="557.6865165165168"/>
    <x v="0"/>
    <n v="1.9139139139139139"/>
    <n v="557.6865165165168"/>
  </r>
  <r>
    <x v="675"/>
    <d v="2022-06-06T00:00:00"/>
    <x v="5"/>
    <x v="0"/>
    <x v="1"/>
    <x v="1"/>
    <x v="0"/>
    <x v="4"/>
    <x v="0"/>
    <x v="1"/>
    <x v="0"/>
    <n v="2"/>
    <n v="1"/>
    <n v="4"/>
    <n v="4"/>
    <n v="942.51"/>
    <x v="36"/>
    <m/>
    <n v="557.6865165165168"/>
    <x v="0"/>
    <n v="1.9139139139139139"/>
    <n v="557.6865165165168"/>
  </r>
  <r>
    <x v="676"/>
    <d v="2021-11-01T00:00:00"/>
    <x v="6"/>
    <x v="0"/>
    <x v="0"/>
    <x v="2"/>
    <x v="0"/>
    <x v="4"/>
    <x v="0"/>
    <x v="0"/>
    <x v="0"/>
    <n v="2"/>
    <n v="3"/>
    <n v="4"/>
    <n v="4"/>
    <n v="782.82"/>
    <x v="59"/>
    <m/>
    <n v="557.6865165165168"/>
    <x v="0"/>
    <n v="1.9139139139139139"/>
    <n v="557.6865165165168"/>
  </r>
  <r>
    <x v="677"/>
    <d v="2023-01-19T00:00:00"/>
    <x v="2"/>
    <x v="0"/>
    <x v="0"/>
    <x v="1"/>
    <x v="0"/>
    <x v="4"/>
    <x v="0"/>
    <x v="0"/>
    <x v="0"/>
    <n v="2"/>
    <n v="2"/>
    <n v="2"/>
    <n v="1"/>
    <n v="370.64"/>
    <x v="61"/>
    <m/>
    <n v="557.6865165165168"/>
    <x v="0"/>
    <n v="1.9139139139139139"/>
    <n v="557.6865165165168"/>
  </r>
  <r>
    <x v="678"/>
    <d v="2020-07-30T00:00:00"/>
    <x v="4"/>
    <x v="0"/>
    <x v="0"/>
    <x v="2"/>
    <x v="0"/>
    <x v="4"/>
    <x v="0"/>
    <x v="0"/>
    <x v="0"/>
    <n v="1"/>
    <n v="3"/>
    <n v="2"/>
    <n v="1"/>
    <n v="487.66"/>
    <x v="35"/>
    <m/>
    <n v="557.6865165165168"/>
    <x v="0"/>
    <n v="1.9139139139139139"/>
    <n v="557.6865165165168"/>
  </r>
  <r>
    <x v="679"/>
    <d v="2023-07-16T00:00:00"/>
    <x v="0"/>
    <x v="0"/>
    <x v="2"/>
    <x v="0"/>
    <x v="0"/>
    <x v="20"/>
    <x v="0"/>
    <x v="0"/>
    <x v="0"/>
    <n v="1"/>
    <n v="5"/>
    <n v="4"/>
    <n v="1"/>
    <n v="179.85"/>
    <x v="61"/>
    <m/>
    <n v="557.6865165165168"/>
    <x v="0"/>
    <n v="1.9139139139139139"/>
    <n v="557.6865165165168"/>
  </r>
  <r>
    <x v="680"/>
    <d v="2022-06-16T00:00:00"/>
    <x v="7"/>
    <x v="0"/>
    <x v="2"/>
    <x v="1"/>
    <x v="0"/>
    <x v="4"/>
    <x v="0"/>
    <x v="0"/>
    <x v="0"/>
    <n v="4"/>
    <n v="1"/>
    <n v="4"/>
    <n v="1"/>
    <n v="294.74"/>
    <x v="26"/>
    <m/>
    <n v="557.6865165165168"/>
    <x v="0"/>
    <n v="1.9139139139139139"/>
    <n v="557.6865165165168"/>
  </r>
  <r>
    <x v="681"/>
    <d v="2021-06-13T00:00:00"/>
    <x v="1"/>
    <x v="1"/>
    <x v="1"/>
    <x v="0"/>
    <x v="0"/>
    <x v="6"/>
    <x v="0"/>
    <x v="1"/>
    <x v="0"/>
    <n v="1"/>
    <n v="3"/>
    <n v="2"/>
    <n v="5"/>
    <n v="202.09"/>
    <x v="26"/>
    <m/>
    <n v="557.6865165165168"/>
    <x v="0"/>
    <n v="1.9139139139139139"/>
    <n v="557.6865165165168"/>
  </r>
  <r>
    <x v="682"/>
    <d v="2020-11-14T00:00:00"/>
    <x v="4"/>
    <x v="1"/>
    <x v="1"/>
    <x v="0"/>
    <x v="0"/>
    <x v="22"/>
    <x v="0"/>
    <x v="0"/>
    <x v="0"/>
    <n v="5"/>
    <n v="5"/>
    <n v="2"/>
    <n v="4"/>
    <n v="901.42"/>
    <x v="22"/>
    <m/>
    <n v="557.6865165165168"/>
    <x v="0"/>
    <n v="1.9139139139139139"/>
    <n v="557.6865165165168"/>
  </r>
  <r>
    <x v="683"/>
    <d v="2020-06-16T00:00:00"/>
    <x v="0"/>
    <x v="1"/>
    <x v="1"/>
    <x v="0"/>
    <x v="0"/>
    <x v="4"/>
    <x v="0"/>
    <x v="0"/>
    <x v="0"/>
    <n v="2"/>
    <n v="1"/>
    <n v="5"/>
    <n v="3"/>
    <n v="454.23"/>
    <x v="42"/>
    <m/>
    <n v="557.6865165165168"/>
    <x v="0"/>
    <n v="1.9139139139139139"/>
    <n v="557.6865165165168"/>
  </r>
  <r>
    <x v="684"/>
    <d v="2018-12-20T00:00:00"/>
    <x v="1"/>
    <x v="1"/>
    <x v="1"/>
    <x v="1"/>
    <x v="0"/>
    <x v="14"/>
    <x v="0"/>
    <x v="0"/>
    <x v="0"/>
    <n v="2"/>
    <n v="1"/>
    <n v="2"/>
    <n v="3"/>
    <n v="460.39"/>
    <x v="23"/>
    <m/>
    <n v="557.6865165165168"/>
    <x v="0"/>
    <n v="1.9139139139139139"/>
    <n v="557.6865165165168"/>
  </r>
  <r>
    <x v="685"/>
    <d v="2022-10-29T00:00:00"/>
    <x v="8"/>
    <x v="0"/>
    <x v="0"/>
    <x v="1"/>
    <x v="0"/>
    <x v="6"/>
    <x v="0"/>
    <x v="0"/>
    <x v="0"/>
    <n v="2"/>
    <n v="2"/>
    <n v="5"/>
    <n v="2"/>
    <n v="644.72"/>
    <x v="47"/>
    <m/>
    <n v="557.6865165165168"/>
    <x v="0"/>
    <n v="1.9139139139139139"/>
    <n v="557.6865165165168"/>
  </r>
  <r>
    <x v="686"/>
    <d v="2020-07-20T00:00:00"/>
    <x v="6"/>
    <x v="0"/>
    <x v="0"/>
    <x v="1"/>
    <x v="0"/>
    <x v="1"/>
    <x v="0"/>
    <x v="0"/>
    <x v="0"/>
    <n v="2"/>
    <n v="2"/>
    <n v="5"/>
    <n v="3"/>
    <n v="436.86"/>
    <x v="22"/>
    <m/>
    <n v="557.6865165165168"/>
    <x v="0"/>
    <n v="1.9139139139139139"/>
    <n v="557.6865165165168"/>
  </r>
  <r>
    <x v="687"/>
    <d v="2021-10-03T00:00:00"/>
    <x v="2"/>
    <x v="1"/>
    <x v="0"/>
    <x v="0"/>
    <x v="0"/>
    <x v="4"/>
    <x v="0"/>
    <x v="1"/>
    <x v="0"/>
    <n v="2"/>
    <n v="1"/>
    <n v="2"/>
    <n v="1"/>
    <n v="361.52"/>
    <x v="47"/>
    <m/>
    <n v="557.6865165165168"/>
    <x v="0"/>
    <n v="1.9139139139139139"/>
    <n v="557.6865165165168"/>
  </r>
  <r>
    <x v="688"/>
    <d v="2022-07-16T00:00:00"/>
    <x v="9"/>
    <x v="0"/>
    <x v="2"/>
    <x v="1"/>
    <x v="0"/>
    <x v="1"/>
    <x v="0"/>
    <x v="1"/>
    <x v="0"/>
    <n v="3"/>
    <n v="5"/>
    <n v="1"/>
    <n v="2"/>
    <n v="229.05"/>
    <x v="37"/>
    <m/>
    <n v="557.6865165165168"/>
    <x v="0"/>
    <n v="1.9139139139139139"/>
    <n v="557.6865165165168"/>
  </r>
  <r>
    <x v="689"/>
    <d v="2020-06-30T00:00:00"/>
    <x v="7"/>
    <x v="0"/>
    <x v="1"/>
    <x v="2"/>
    <x v="0"/>
    <x v="20"/>
    <x v="0"/>
    <x v="1"/>
    <x v="0"/>
    <n v="4"/>
    <n v="3"/>
    <n v="1"/>
    <n v="3"/>
    <n v="787.85"/>
    <x v="25"/>
    <m/>
    <n v="557.6865165165168"/>
    <x v="0"/>
    <n v="1.9139139139139139"/>
    <n v="557.6865165165168"/>
  </r>
  <r>
    <x v="690"/>
    <d v="2021-06-13T00:00:00"/>
    <x v="3"/>
    <x v="0"/>
    <x v="1"/>
    <x v="0"/>
    <x v="0"/>
    <x v="13"/>
    <x v="0"/>
    <x v="1"/>
    <x v="0"/>
    <n v="5"/>
    <n v="5"/>
    <n v="4"/>
    <n v="1"/>
    <n v="483.82"/>
    <x v="39"/>
    <m/>
    <n v="557.6865165165168"/>
    <x v="0"/>
    <n v="1.9139139139139139"/>
    <n v="557.6865165165168"/>
  </r>
  <r>
    <x v="691"/>
    <d v="2020-12-29T00:00:00"/>
    <x v="5"/>
    <x v="0"/>
    <x v="1"/>
    <x v="0"/>
    <x v="0"/>
    <x v="8"/>
    <x v="0"/>
    <x v="0"/>
    <x v="0"/>
    <n v="2"/>
    <n v="4"/>
    <n v="5"/>
    <n v="5"/>
    <n v="623.64"/>
    <x v="42"/>
    <m/>
    <n v="557.6865165165168"/>
    <x v="0"/>
    <n v="1.9139139139139139"/>
    <n v="557.6865165165168"/>
  </r>
  <r>
    <x v="692"/>
    <d v="2022-02-03T00:00:00"/>
    <x v="4"/>
    <x v="0"/>
    <x v="2"/>
    <x v="1"/>
    <x v="0"/>
    <x v="14"/>
    <x v="0"/>
    <x v="0"/>
    <x v="0"/>
    <n v="4"/>
    <n v="5"/>
    <n v="5"/>
    <n v="4"/>
    <n v="351.35"/>
    <x v="25"/>
    <m/>
    <n v="557.6865165165168"/>
    <x v="0"/>
    <n v="1.9139139139139139"/>
    <n v="557.6865165165168"/>
  </r>
  <r>
    <x v="693"/>
    <d v="2022-01-10T00:00:00"/>
    <x v="0"/>
    <x v="0"/>
    <x v="1"/>
    <x v="2"/>
    <x v="0"/>
    <x v="13"/>
    <x v="0"/>
    <x v="0"/>
    <x v="0"/>
    <n v="1"/>
    <n v="3"/>
    <n v="1"/>
    <n v="3"/>
    <n v="512.51"/>
    <x v="4"/>
    <m/>
    <n v="557.6865165165168"/>
    <x v="0"/>
    <n v="1.9139139139139139"/>
    <n v="557.6865165165168"/>
  </r>
  <r>
    <x v="694"/>
    <d v="2018-12-13T00:00:00"/>
    <x v="1"/>
    <x v="0"/>
    <x v="2"/>
    <x v="1"/>
    <x v="0"/>
    <x v="10"/>
    <x v="0"/>
    <x v="0"/>
    <x v="0"/>
    <n v="1"/>
    <n v="2"/>
    <n v="4"/>
    <n v="5"/>
    <n v="957.9"/>
    <x v="54"/>
    <m/>
    <n v="557.6865165165168"/>
    <x v="0"/>
    <n v="1.9139139139139139"/>
    <n v="557.6865165165168"/>
  </r>
  <r>
    <x v="695"/>
    <d v="2021-03-03T00:00:00"/>
    <x v="8"/>
    <x v="0"/>
    <x v="1"/>
    <x v="1"/>
    <x v="0"/>
    <x v="8"/>
    <x v="0"/>
    <x v="0"/>
    <x v="0"/>
    <n v="3"/>
    <n v="3"/>
    <n v="5"/>
    <n v="5"/>
    <n v="886.45"/>
    <x v="15"/>
    <m/>
    <n v="557.6865165165168"/>
    <x v="0"/>
    <n v="1.9139139139139139"/>
    <n v="557.6865165165168"/>
  </r>
  <r>
    <x v="696"/>
    <d v="2021-07-04T00:00:00"/>
    <x v="6"/>
    <x v="0"/>
    <x v="2"/>
    <x v="1"/>
    <x v="0"/>
    <x v="1"/>
    <x v="0"/>
    <x v="0"/>
    <x v="0"/>
    <n v="4"/>
    <n v="1"/>
    <n v="1"/>
    <n v="4"/>
    <n v="443.55"/>
    <x v="46"/>
    <m/>
    <n v="557.6865165165168"/>
    <x v="0"/>
    <n v="1.9139139139139139"/>
    <n v="557.6865165165168"/>
  </r>
  <r>
    <x v="697"/>
    <d v="2020-02-06T00:00:00"/>
    <x v="5"/>
    <x v="1"/>
    <x v="0"/>
    <x v="2"/>
    <x v="0"/>
    <x v="2"/>
    <x v="0"/>
    <x v="1"/>
    <x v="0"/>
    <n v="4"/>
    <n v="1"/>
    <n v="1"/>
    <n v="4"/>
    <n v="899.13"/>
    <x v="11"/>
    <m/>
    <n v="557.6865165165168"/>
    <x v="0"/>
    <n v="1.9139139139139139"/>
    <n v="557.6865165165168"/>
  </r>
  <r>
    <x v="698"/>
    <d v="2020-06-28T00:00:00"/>
    <x v="6"/>
    <x v="1"/>
    <x v="0"/>
    <x v="0"/>
    <x v="0"/>
    <x v="5"/>
    <x v="0"/>
    <x v="0"/>
    <x v="0"/>
    <n v="5"/>
    <n v="5"/>
    <n v="3"/>
    <n v="1"/>
    <n v="202.74"/>
    <x v="37"/>
    <m/>
    <n v="557.6865165165168"/>
    <x v="0"/>
    <n v="1.9139139139139139"/>
    <n v="557.6865165165168"/>
  </r>
  <r>
    <x v="699"/>
    <d v="2020-12-22T00:00:00"/>
    <x v="2"/>
    <x v="1"/>
    <x v="0"/>
    <x v="2"/>
    <x v="0"/>
    <x v="11"/>
    <x v="0"/>
    <x v="0"/>
    <x v="0"/>
    <n v="2"/>
    <n v="5"/>
    <n v="3"/>
    <n v="4"/>
    <n v="727.81"/>
    <x v="23"/>
    <m/>
    <n v="557.6865165165168"/>
    <x v="0"/>
    <n v="1.9139139139139139"/>
    <n v="557.6865165165168"/>
  </r>
  <r>
    <x v="700"/>
    <d v="2019-11-24T00:00:00"/>
    <x v="4"/>
    <x v="0"/>
    <x v="1"/>
    <x v="2"/>
    <x v="0"/>
    <x v="13"/>
    <x v="0"/>
    <x v="0"/>
    <x v="0"/>
    <n v="4"/>
    <n v="4"/>
    <n v="4"/>
    <n v="2"/>
    <n v="820.39"/>
    <x v="11"/>
    <m/>
    <n v="557.6865165165168"/>
    <x v="0"/>
    <n v="1.9139139139139139"/>
    <n v="557.6865165165168"/>
  </r>
  <r>
    <x v="701"/>
    <d v="2022-09-23T00:00:00"/>
    <x v="0"/>
    <x v="0"/>
    <x v="1"/>
    <x v="0"/>
    <x v="0"/>
    <x v="3"/>
    <x v="0"/>
    <x v="0"/>
    <x v="0"/>
    <n v="3"/>
    <n v="1"/>
    <n v="1"/>
    <n v="4"/>
    <n v="111.94"/>
    <x v="48"/>
    <m/>
    <n v="557.6865165165168"/>
    <x v="0"/>
    <n v="1.9139139139139139"/>
    <n v="557.6865165165168"/>
  </r>
  <r>
    <x v="702"/>
    <d v="2020-02-06T00:00:00"/>
    <x v="7"/>
    <x v="1"/>
    <x v="1"/>
    <x v="2"/>
    <x v="0"/>
    <x v="1"/>
    <x v="0"/>
    <x v="0"/>
    <x v="0"/>
    <n v="5"/>
    <n v="2"/>
    <n v="3"/>
    <n v="1"/>
    <n v="231.96"/>
    <x v="10"/>
    <m/>
    <n v="557.6865165165168"/>
    <x v="0"/>
    <n v="1.9139139139139139"/>
    <n v="557.6865165165168"/>
  </r>
  <r>
    <x v="703"/>
    <d v="2019-01-14T00:00:00"/>
    <x v="1"/>
    <x v="1"/>
    <x v="1"/>
    <x v="0"/>
    <x v="0"/>
    <x v="4"/>
    <x v="0"/>
    <x v="1"/>
    <x v="0"/>
    <n v="5"/>
    <n v="4"/>
    <n v="2"/>
    <n v="2"/>
    <n v="430.92"/>
    <x v="59"/>
    <m/>
    <n v="557.6865165165168"/>
    <x v="0"/>
    <n v="1.9139139139139139"/>
    <n v="557.6865165165168"/>
  </r>
  <r>
    <x v="704"/>
    <d v="2019-03-09T00:00:00"/>
    <x v="9"/>
    <x v="0"/>
    <x v="2"/>
    <x v="0"/>
    <x v="0"/>
    <x v="5"/>
    <x v="0"/>
    <x v="0"/>
    <x v="0"/>
    <n v="4"/>
    <n v="5"/>
    <n v="4"/>
    <n v="5"/>
    <n v="355.3"/>
    <x v="11"/>
    <m/>
    <n v="557.6865165165168"/>
    <x v="0"/>
    <n v="1.9139139139139139"/>
    <n v="557.6865165165168"/>
  </r>
  <r>
    <x v="705"/>
    <d v="2020-06-13T00:00:00"/>
    <x v="5"/>
    <x v="0"/>
    <x v="1"/>
    <x v="2"/>
    <x v="0"/>
    <x v="23"/>
    <x v="0"/>
    <x v="0"/>
    <x v="0"/>
    <n v="3"/>
    <n v="5"/>
    <n v="4"/>
    <n v="5"/>
    <n v="575.1"/>
    <x v="47"/>
    <m/>
    <n v="557.6865165165168"/>
    <x v="0"/>
    <n v="1.9139139139139139"/>
    <n v="557.6865165165168"/>
  </r>
  <r>
    <x v="706"/>
    <d v="2019-01-22T00:00:00"/>
    <x v="6"/>
    <x v="0"/>
    <x v="0"/>
    <x v="2"/>
    <x v="0"/>
    <x v="4"/>
    <x v="0"/>
    <x v="0"/>
    <x v="0"/>
    <n v="3"/>
    <n v="2"/>
    <n v="2"/>
    <n v="1"/>
    <n v="140.82"/>
    <x v="14"/>
    <m/>
    <n v="557.6865165165168"/>
    <x v="0"/>
    <n v="1.9139139139139139"/>
    <n v="557.6865165165168"/>
  </r>
  <r>
    <x v="707"/>
    <d v="2020-12-12T00:00:00"/>
    <x v="2"/>
    <x v="0"/>
    <x v="1"/>
    <x v="2"/>
    <x v="0"/>
    <x v="4"/>
    <x v="0"/>
    <x v="0"/>
    <x v="0"/>
    <n v="3"/>
    <n v="3"/>
    <n v="3"/>
    <n v="2"/>
    <n v="663.19"/>
    <x v="10"/>
    <m/>
    <n v="557.6865165165168"/>
    <x v="0"/>
    <n v="1.9139139139139139"/>
    <n v="557.6865165165168"/>
  </r>
  <r>
    <x v="708"/>
    <d v="2022-04-27T00:00:00"/>
    <x v="4"/>
    <x v="0"/>
    <x v="2"/>
    <x v="1"/>
    <x v="0"/>
    <x v="3"/>
    <x v="0"/>
    <x v="0"/>
    <x v="0"/>
    <n v="4"/>
    <n v="5"/>
    <n v="1"/>
    <n v="2"/>
    <n v="996.77"/>
    <x v="54"/>
    <m/>
    <n v="557.6865165165168"/>
    <x v="0"/>
    <n v="1.9139139139139139"/>
    <n v="557.6865165165168"/>
  </r>
  <r>
    <x v="709"/>
    <d v="2022-04-11T00:00:00"/>
    <x v="0"/>
    <x v="1"/>
    <x v="0"/>
    <x v="1"/>
    <x v="0"/>
    <x v="3"/>
    <x v="0"/>
    <x v="1"/>
    <x v="0"/>
    <n v="2"/>
    <n v="4"/>
    <n v="4"/>
    <n v="2"/>
    <n v="145.38999999999999"/>
    <x v="12"/>
    <m/>
    <n v="557.6865165165168"/>
    <x v="0"/>
    <n v="1.9139139139139139"/>
    <n v="557.6865165165168"/>
  </r>
  <r>
    <x v="710"/>
    <d v="2022-09-01T00:00:00"/>
    <x v="7"/>
    <x v="1"/>
    <x v="0"/>
    <x v="2"/>
    <x v="0"/>
    <x v="13"/>
    <x v="0"/>
    <x v="1"/>
    <x v="0"/>
    <n v="1"/>
    <n v="3"/>
    <n v="2"/>
    <n v="1"/>
    <n v="344.74"/>
    <x v="52"/>
    <m/>
    <n v="557.6865165165168"/>
    <x v="0"/>
    <n v="1.9139139139139139"/>
    <n v="557.6865165165168"/>
  </r>
  <r>
    <x v="711"/>
    <d v="2018-09-08T00:00:00"/>
    <x v="1"/>
    <x v="0"/>
    <x v="0"/>
    <x v="1"/>
    <x v="0"/>
    <x v="6"/>
    <x v="0"/>
    <x v="1"/>
    <x v="0"/>
    <n v="3"/>
    <n v="5"/>
    <n v="3"/>
    <n v="5"/>
    <n v="308.08999999999997"/>
    <x v="44"/>
    <m/>
    <n v="557.6865165165168"/>
    <x v="0"/>
    <n v="1.9139139139139139"/>
    <n v="557.6865165165168"/>
  </r>
  <r>
    <x v="712"/>
    <d v="2022-11-24T00:00:00"/>
    <x v="8"/>
    <x v="0"/>
    <x v="1"/>
    <x v="2"/>
    <x v="0"/>
    <x v="2"/>
    <x v="0"/>
    <x v="1"/>
    <x v="0"/>
    <n v="1"/>
    <n v="4"/>
    <n v="3"/>
    <n v="1"/>
    <n v="610.96"/>
    <x v="50"/>
    <m/>
    <n v="557.6865165165168"/>
    <x v="0"/>
    <n v="1.9139139139139139"/>
    <n v="557.6865165165168"/>
  </r>
  <r>
    <x v="713"/>
    <d v="2020-07-23T00:00:00"/>
    <x v="3"/>
    <x v="0"/>
    <x v="1"/>
    <x v="0"/>
    <x v="0"/>
    <x v="17"/>
    <x v="0"/>
    <x v="0"/>
    <x v="0"/>
    <n v="2"/>
    <n v="1"/>
    <n v="2"/>
    <n v="3"/>
    <n v="201.83"/>
    <x v="32"/>
    <m/>
    <n v="557.6865165165168"/>
    <x v="0"/>
    <n v="1.9139139139139139"/>
    <n v="557.6865165165168"/>
  </r>
  <r>
    <x v="714"/>
    <d v="2018-12-28T00:00:00"/>
    <x v="9"/>
    <x v="0"/>
    <x v="2"/>
    <x v="0"/>
    <x v="0"/>
    <x v="6"/>
    <x v="0"/>
    <x v="0"/>
    <x v="0"/>
    <n v="3"/>
    <n v="4"/>
    <n v="2"/>
    <n v="5"/>
    <n v="391.85"/>
    <x v="47"/>
    <m/>
    <n v="557.6865165165168"/>
    <x v="0"/>
    <n v="1.9139139139139139"/>
    <n v="557.6865165165168"/>
  </r>
  <r>
    <x v="715"/>
    <d v="2019-10-01T00:00:00"/>
    <x v="5"/>
    <x v="0"/>
    <x v="0"/>
    <x v="2"/>
    <x v="0"/>
    <x v="13"/>
    <x v="0"/>
    <x v="0"/>
    <x v="0"/>
    <n v="2"/>
    <n v="1"/>
    <n v="2"/>
    <n v="5"/>
    <n v="682.36"/>
    <x v="6"/>
    <m/>
    <n v="557.6865165165168"/>
    <x v="0"/>
    <n v="1.9139139139139139"/>
    <n v="557.6865165165168"/>
  </r>
  <r>
    <x v="716"/>
    <d v="2019-08-17T00:00:00"/>
    <x v="6"/>
    <x v="0"/>
    <x v="0"/>
    <x v="1"/>
    <x v="0"/>
    <x v="13"/>
    <x v="0"/>
    <x v="0"/>
    <x v="0"/>
    <n v="5"/>
    <n v="1"/>
    <n v="5"/>
    <n v="3"/>
    <n v="492.39"/>
    <x v="21"/>
    <m/>
    <n v="557.6865165165168"/>
    <x v="0"/>
    <n v="1.9139139139139139"/>
    <n v="557.6865165165168"/>
  </r>
  <r>
    <x v="717"/>
    <d v="2023-05-31T00:00:00"/>
    <x v="2"/>
    <x v="0"/>
    <x v="2"/>
    <x v="1"/>
    <x v="0"/>
    <x v="13"/>
    <x v="0"/>
    <x v="0"/>
    <x v="0"/>
    <n v="1"/>
    <n v="3"/>
    <n v="1"/>
    <n v="2"/>
    <n v="197.78"/>
    <x v="46"/>
    <m/>
    <n v="557.6865165165168"/>
    <x v="0"/>
    <n v="1.9139139139139139"/>
    <n v="557.6865165165168"/>
  </r>
  <r>
    <x v="718"/>
    <d v="2020-12-08T00:00:00"/>
    <x v="4"/>
    <x v="0"/>
    <x v="1"/>
    <x v="2"/>
    <x v="0"/>
    <x v="4"/>
    <x v="0"/>
    <x v="0"/>
    <x v="0"/>
    <n v="4"/>
    <n v="5"/>
    <n v="1"/>
    <n v="4"/>
    <n v="485.44"/>
    <x v="61"/>
    <m/>
    <n v="557.6865165165168"/>
    <x v="0"/>
    <n v="1.9139139139139139"/>
    <n v="557.6865165165168"/>
  </r>
  <r>
    <x v="719"/>
    <d v="2018-11-05T00:00:00"/>
    <x v="0"/>
    <x v="1"/>
    <x v="2"/>
    <x v="2"/>
    <x v="0"/>
    <x v="4"/>
    <x v="0"/>
    <x v="1"/>
    <x v="0"/>
    <n v="3"/>
    <n v="3"/>
    <n v="1"/>
    <n v="3"/>
    <n v="557.34"/>
    <x v="49"/>
    <m/>
    <n v="557.6865165165168"/>
    <x v="0"/>
    <n v="1.9139139139139139"/>
    <n v="557.6865165165168"/>
  </r>
  <r>
    <x v="720"/>
    <d v="2020-08-26T00:00:00"/>
    <x v="1"/>
    <x v="1"/>
    <x v="0"/>
    <x v="0"/>
    <x v="0"/>
    <x v="6"/>
    <x v="0"/>
    <x v="0"/>
    <x v="0"/>
    <n v="4"/>
    <n v="5"/>
    <n v="4"/>
    <n v="5"/>
    <n v="817.92"/>
    <x v="49"/>
    <m/>
    <n v="557.6865165165168"/>
    <x v="0"/>
    <n v="1.9139139139139139"/>
    <n v="557.6865165165168"/>
  </r>
  <r>
    <x v="721"/>
    <d v="2020-02-23T00:00:00"/>
    <x v="8"/>
    <x v="0"/>
    <x v="2"/>
    <x v="1"/>
    <x v="0"/>
    <x v="9"/>
    <x v="0"/>
    <x v="0"/>
    <x v="0"/>
    <n v="1"/>
    <n v="2"/>
    <n v="4"/>
    <n v="4"/>
    <n v="485.39"/>
    <x v="29"/>
    <m/>
    <n v="557.6865165165168"/>
    <x v="0"/>
    <n v="1.9139139139139139"/>
    <n v="557.6865165165168"/>
  </r>
  <r>
    <x v="722"/>
    <d v="2022-02-12T00:00:00"/>
    <x v="6"/>
    <x v="0"/>
    <x v="1"/>
    <x v="2"/>
    <x v="0"/>
    <x v="8"/>
    <x v="0"/>
    <x v="0"/>
    <x v="0"/>
    <n v="1"/>
    <n v="5"/>
    <n v="3"/>
    <n v="3"/>
    <n v="145.13"/>
    <x v="31"/>
    <m/>
    <n v="557.6865165165168"/>
    <x v="0"/>
    <n v="1.9139139139139139"/>
    <n v="557.6865165165168"/>
  </r>
  <r>
    <x v="723"/>
    <d v="2020-02-13T00:00:00"/>
    <x v="2"/>
    <x v="0"/>
    <x v="0"/>
    <x v="0"/>
    <x v="0"/>
    <x v="1"/>
    <x v="0"/>
    <x v="0"/>
    <x v="0"/>
    <n v="2"/>
    <n v="1"/>
    <n v="5"/>
    <n v="4"/>
    <n v="751.88"/>
    <x v="49"/>
    <m/>
    <n v="557.6865165165168"/>
    <x v="0"/>
    <n v="1.9139139139139139"/>
    <n v="557.6865165165168"/>
  </r>
  <r>
    <x v="724"/>
    <d v="2023-02-15T00:00:00"/>
    <x v="9"/>
    <x v="1"/>
    <x v="2"/>
    <x v="2"/>
    <x v="0"/>
    <x v="3"/>
    <x v="0"/>
    <x v="0"/>
    <x v="0"/>
    <n v="4"/>
    <n v="1"/>
    <n v="1"/>
    <n v="1"/>
    <n v="136.47999999999999"/>
    <x v="49"/>
    <m/>
    <n v="557.6865165165168"/>
    <x v="0"/>
    <n v="1.9139139139139139"/>
    <n v="557.6865165165168"/>
  </r>
  <r>
    <x v="725"/>
    <d v="2019-12-03T00:00:00"/>
    <x v="7"/>
    <x v="1"/>
    <x v="1"/>
    <x v="2"/>
    <x v="0"/>
    <x v="13"/>
    <x v="0"/>
    <x v="1"/>
    <x v="0"/>
    <n v="5"/>
    <n v="5"/>
    <n v="1"/>
    <n v="1"/>
    <n v="857.42"/>
    <x v="9"/>
    <m/>
    <n v="557.6865165165168"/>
    <x v="0"/>
    <n v="1.9139139139139139"/>
    <n v="557.6865165165168"/>
  </r>
  <r>
    <x v="726"/>
    <d v="2018-12-31T00:00:00"/>
    <x v="5"/>
    <x v="0"/>
    <x v="1"/>
    <x v="2"/>
    <x v="0"/>
    <x v="3"/>
    <x v="0"/>
    <x v="0"/>
    <x v="0"/>
    <n v="2"/>
    <n v="3"/>
    <n v="1"/>
    <n v="3"/>
    <n v="733.16"/>
    <x v="7"/>
    <m/>
    <n v="557.6865165165168"/>
    <x v="0"/>
    <n v="1.9139139139139139"/>
    <n v="557.6865165165168"/>
  </r>
  <r>
    <x v="727"/>
    <d v="2020-01-16T00:00:00"/>
    <x v="4"/>
    <x v="1"/>
    <x v="2"/>
    <x v="2"/>
    <x v="0"/>
    <x v="6"/>
    <x v="0"/>
    <x v="0"/>
    <x v="0"/>
    <n v="2"/>
    <n v="2"/>
    <n v="2"/>
    <n v="5"/>
    <n v="761.31"/>
    <x v="51"/>
    <m/>
    <n v="557.6865165165168"/>
    <x v="0"/>
    <n v="1.9139139139139139"/>
    <n v="557.6865165165168"/>
  </r>
  <r>
    <x v="728"/>
    <d v="2018-11-20T00:00:00"/>
    <x v="0"/>
    <x v="1"/>
    <x v="1"/>
    <x v="0"/>
    <x v="0"/>
    <x v="7"/>
    <x v="0"/>
    <x v="0"/>
    <x v="0"/>
    <n v="5"/>
    <n v="2"/>
    <n v="4"/>
    <n v="1"/>
    <n v="920.41"/>
    <x v="26"/>
    <m/>
    <n v="557.6865165165168"/>
    <x v="0"/>
    <n v="1.9139139139139139"/>
    <n v="557.6865165165168"/>
  </r>
  <r>
    <x v="729"/>
    <d v="2022-11-11T00:00:00"/>
    <x v="1"/>
    <x v="1"/>
    <x v="2"/>
    <x v="1"/>
    <x v="0"/>
    <x v="17"/>
    <x v="0"/>
    <x v="0"/>
    <x v="0"/>
    <n v="5"/>
    <n v="5"/>
    <n v="3"/>
    <n v="4"/>
    <n v="167.69"/>
    <x v="31"/>
    <m/>
    <n v="557.6865165165168"/>
    <x v="0"/>
    <n v="1.9139139139139139"/>
    <n v="557.6865165165168"/>
  </r>
  <r>
    <x v="730"/>
    <d v="2020-12-18T00:00:00"/>
    <x v="8"/>
    <x v="1"/>
    <x v="0"/>
    <x v="1"/>
    <x v="0"/>
    <x v="16"/>
    <x v="0"/>
    <x v="0"/>
    <x v="0"/>
    <n v="5"/>
    <n v="2"/>
    <n v="1"/>
    <n v="2"/>
    <n v="931.45"/>
    <x v="4"/>
    <m/>
    <n v="557.6865165165168"/>
    <x v="0"/>
    <n v="1.9139139139139139"/>
    <n v="557.6865165165168"/>
  </r>
  <r>
    <x v="731"/>
    <d v="2021-01-26T00:00:00"/>
    <x v="6"/>
    <x v="0"/>
    <x v="1"/>
    <x v="0"/>
    <x v="0"/>
    <x v="6"/>
    <x v="0"/>
    <x v="0"/>
    <x v="0"/>
    <n v="4"/>
    <n v="1"/>
    <n v="4"/>
    <n v="1"/>
    <n v="474.36"/>
    <x v="17"/>
    <m/>
    <n v="557.6865165165168"/>
    <x v="0"/>
    <n v="1.9139139139139139"/>
    <n v="557.6865165165168"/>
  </r>
  <r>
    <x v="732"/>
    <d v="2021-11-26T00:00:00"/>
    <x v="2"/>
    <x v="1"/>
    <x v="2"/>
    <x v="2"/>
    <x v="0"/>
    <x v="13"/>
    <x v="0"/>
    <x v="1"/>
    <x v="0"/>
    <n v="4"/>
    <n v="2"/>
    <n v="3"/>
    <n v="5"/>
    <n v="598.72"/>
    <x v="36"/>
    <m/>
    <n v="557.6865165165168"/>
    <x v="0"/>
    <n v="1.9139139139139139"/>
    <n v="557.6865165165168"/>
  </r>
  <r>
    <x v="733"/>
    <d v="2023-05-15T00:00:00"/>
    <x v="9"/>
    <x v="0"/>
    <x v="0"/>
    <x v="0"/>
    <x v="0"/>
    <x v="0"/>
    <x v="0"/>
    <x v="1"/>
    <x v="0"/>
    <n v="1"/>
    <n v="2"/>
    <n v="4"/>
    <n v="5"/>
    <n v="557.02"/>
    <x v="59"/>
    <m/>
    <n v="557.6865165165168"/>
    <x v="0"/>
    <n v="1.9139139139139139"/>
    <n v="557.6865165165168"/>
  </r>
  <r>
    <x v="734"/>
    <d v="2023-06-20T00:00:00"/>
    <x v="7"/>
    <x v="0"/>
    <x v="1"/>
    <x v="1"/>
    <x v="0"/>
    <x v="4"/>
    <x v="0"/>
    <x v="1"/>
    <x v="0"/>
    <n v="4"/>
    <n v="5"/>
    <n v="4"/>
    <n v="3"/>
    <n v="939.92"/>
    <x v="56"/>
    <m/>
    <n v="557.6865165165168"/>
    <x v="0"/>
    <n v="1.9139139139139139"/>
    <n v="557.6865165165168"/>
  </r>
  <r>
    <x v="735"/>
    <d v="2019-08-22T00:00:00"/>
    <x v="3"/>
    <x v="0"/>
    <x v="2"/>
    <x v="0"/>
    <x v="0"/>
    <x v="18"/>
    <x v="0"/>
    <x v="0"/>
    <x v="0"/>
    <n v="1"/>
    <n v="2"/>
    <n v="2"/>
    <n v="3"/>
    <n v="669.19"/>
    <x v="37"/>
    <m/>
    <n v="557.6865165165168"/>
    <x v="0"/>
    <n v="1.9139139139139139"/>
    <n v="557.6865165165168"/>
  </r>
  <r>
    <x v="736"/>
    <d v="2021-08-30T00:00:00"/>
    <x v="5"/>
    <x v="0"/>
    <x v="0"/>
    <x v="2"/>
    <x v="0"/>
    <x v="10"/>
    <x v="0"/>
    <x v="0"/>
    <x v="0"/>
    <n v="2"/>
    <n v="5"/>
    <n v="3"/>
    <n v="5"/>
    <n v="525.69000000000005"/>
    <x v="2"/>
    <m/>
    <n v="557.6865165165168"/>
    <x v="0"/>
    <n v="1.9139139139139139"/>
    <n v="557.6865165165168"/>
  </r>
  <r>
    <x v="737"/>
    <d v="2020-01-27T00:00:00"/>
    <x v="4"/>
    <x v="0"/>
    <x v="2"/>
    <x v="2"/>
    <x v="0"/>
    <x v="4"/>
    <x v="0"/>
    <x v="0"/>
    <x v="0"/>
    <n v="4"/>
    <n v="2"/>
    <n v="5"/>
    <n v="1"/>
    <n v="173.66"/>
    <x v="12"/>
    <m/>
    <n v="557.6865165165168"/>
    <x v="0"/>
    <n v="1.9139139139139139"/>
    <n v="557.6865165165168"/>
  </r>
  <r>
    <x v="738"/>
    <d v="2022-03-04T00:00:00"/>
    <x v="0"/>
    <x v="0"/>
    <x v="0"/>
    <x v="0"/>
    <x v="0"/>
    <x v="13"/>
    <x v="0"/>
    <x v="0"/>
    <x v="0"/>
    <n v="5"/>
    <n v="4"/>
    <n v="4"/>
    <n v="1"/>
    <n v="635.71"/>
    <x v="40"/>
    <m/>
    <n v="557.6865165165168"/>
    <x v="0"/>
    <n v="1.9139139139139139"/>
    <n v="557.6865165165168"/>
  </r>
  <r>
    <x v="739"/>
    <d v="2020-03-07T00:00:00"/>
    <x v="1"/>
    <x v="0"/>
    <x v="0"/>
    <x v="2"/>
    <x v="0"/>
    <x v="15"/>
    <x v="0"/>
    <x v="0"/>
    <x v="0"/>
    <n v="2"/>
    <n v="2"/>
    <n v="1"/>
    <n v="1"/>
    <n v="896.8"/>
    <x v="18"/>
    <m/>
    <n v="557.6865165165168"/>
    <x v="0"/>
    <n v="1.9139139139139139"/>
    <n v="557.6865165165168"/>
  </r>
  <r>
    <x v="740"/>
    <d v="2020-03-19T00:00:00"/>
    <x v="8"/>
    <x v="0"/>
    <x v="1"/>
    <x v="2"/>
    <x v="0"/>
    <x v="16"/>
    <x v="0"/>
    <x v="0"/>
    <x v="0"/>
    <n v="2"/>
    <n v="1"/>
    <n v="5"/>
    <n v="4"/>
    <n v="857.61"/>
    <x v="8"/>
    <m/>
    <n v="557.6865165165168"/>
    <x v="0"/>
    <n v="1.9139139139139139"/>
    <n v="557.6865165165168"/>
  </r>
  <r>
    <x v="741"/>
    <d v="2022-07-23T00:00:00"/>
    <x v="5"/>
    <x v="0"/>
    <x v="1"/>
    <x v="1"/>
    <x v="0"/>
    <x v="13"/>
    <x v="0"/>
    <x v="1"/>
    <x v="0"/>
    <n v="5"/>
    <n v="5"/>
    <n v="3"/>
    <n v="3"/>
    <n v="460.59"/>
    <x v="13"/>
    <m/>
    <n v="557.6865165165168"/>
    <x v="0"/>
    <n v="1.9139139139139139"/>
    <n v="557.6865165165168"/>
  </r>
  <r>
    <x v="742"/>
    <d v="2019-10-18T00:00:00"/>
    <x v="6"/>
    <x v="1"/>
    <x v="1"/>
    <x v="1"/>
    <x v="0"/>
    <x v="21"/>
    <x v="0"/>
    <x v="0"/>
    <x v="0"/>
    <n v="4"/>
    <n v="1"/>
    <n v="5"/>
    <n v="1"/>
    <n v="504.82"/>
    <x v="61"/>
    <m/>
    <n v="557.6865165165168"/>
    <x v="0"/>
    <n v="1.9139139139139139"/>
    <n v="557.6865165165168"/>
  </r>
  <r>
    <x v="743"/>
    <d v="2020-04-14T00:00:00"/>
    <x v="2"/>
    <x v="0"/>
    <x v="1"/>
    <x v="2"/>
    <x v="0"/>
    <x v="3"/>
    <x v="0"/>
    <x v="0"/>
    <x v="0"/>
    <n v="5"/>
    <n v="5"/>
    <n v="3"/>
    <n v="3"/>
    <n v="737.91"/>
    <x v="23"/>
    <m/>
    <n v="557.6865165165168"/>
    <x v="0"/>
    <n v="1.9139139139139139"/>
    <n v="557.6865165165168"/>
  </r>
  <r>
    <x v="744"/>
    <d v="2018-11-25T00:00:00"/>
    <x v="4"/>
    <x v="1"/>
    <x v="2"/>
    <x v="2"/>
    <x v="0"/>
    <x v="4"/>
    <x v="0"/>
    <x v="0"/>
    <x v="0"/>
    <n v="1"/>
    <n v="4"/>
    <n v="1"/>
    <n v="2"/>
    <n v="244.25"/>
    <x v="61"/>
    <m/>
    <n v="557.6865165165168"/>
    <x v="0"/>
    <n v="1.9139139139139139"/>
    <n v="557.6865165165168"/>
  </r>
  <r>
    <x v="745"/>
    <d v="2021-03-23T00:00:00"/>
    <x v="0"/>
    <x v="1"/>
    <x v="2"/>
    <x v="1"/>
    <x v="0"/>
    <x v="17"/>
    <x v="0"/>
    <x v="0"/>
    <x v="0"/>
    <n v="4"/>
    <n v="3"/>
    <n v="1"/>
    <n v="2"/>
    <n v="762.82"/>
    <x v="51"/>
    <m/>
    <n v="557.6865165165168"/>
    <x v="0"/>
    <n v="1.9139139139139139"/>
    <n v="557.6865165165168"/>
  </r>
  <r>
    <x v="746"/>
    <d v="2020-10-27T00:00:00"/>
    <x v="7"/>
    <x v="1"/>
    <x v="2"/>
    <x v="2"/>
    <x v="0"/>
    <x v="6"/>
    <x v="0"/>
    <x v="0"/>
    <x v="0"/>
    <n v="1"/>
    <n v="3"/>
    <n v="3"/>
    <n v="2"/>
    <n v="640.14"/>
    <x v="22"/>
    <m/>
    <n v="557.6865165165168"/>
    <x v="0"/>
    <n v="1.9139139139139139"/>
    <n v="557.6865165165168"/>
  </r>
  <r>
    <x v="747"/>
    <d v="2022-06-11T00:00:00"/>
    <x v="3"/>
    <x v="1"/>
    <x v="2"/>
    <x v="0"/>
    <x v="0"/>
    <x v="8"/>
    <x v="0"/>
    <x v="0"/>
    <x v="0"/>
    <n v="4"/>
    <n v="5"/>
    <n v="5"/>
    <n v="3"/>
    <n v="726.03"/>
    <x v="30"/>
    <m/>
    <n v="557.6865165165168"/>
    <x v="0"/>
    <n v="1.9139139139139139"/>
    <n v="557.6865165165168"/>
  </r>
  <r>
    <x v="748"/>
    <d v="2020-03-19T00:00:00"/>
    <x v="9"/>
    <x v="0"/>
    <x v="0"/>
    <x v="2"/>
    <x v="0"/>
    <x v="22"/>
    <x v="0"/>
    <x v="0"/>
    <x v="0"/>
    <n v="1"/>
    <n v="4"/>
    <n v="3"/>
    <n v="5"/>
    <n v="758.75"/>
    <x v="41"/>
    <m/>
    <n v="557.6865165165168"/>
    <x v="0"/>
    <n v="1.9139139139139139"/>
    <n v="557.6865165165168"/>
  </r>
  <r>
    <x v="749"/>
    <d v="2019-11-07T00:00:00"/>
    <x v="5"/>
    <x v="1"/>
    <x v="0"/>
    <x v="2"/>
    <x v="0"/>
    <x v="4"/>
    <x v="0"/>
    <x v="0"/>
    <x v="0"/>
    <n v="4"/>
    <n v="4"/>
    <n v="3"/>
    <n v="5"/>
    <n v="878.94"/>
    <x v="2"/>
    <m/>
    <n v="557.6865165165168"/>
    <x v="0"/>
    <n v="1.9139139139139139"/>
    <n v="557.6865165165168"/>
  </r>
  <r>
    <x v="750"/>
    <d v="2023-04-24T00:00:00"/>
    <x v="6"/>
    <x v="0"/>
    <x v="1"/>
    <x v="0"/>
    <x v="0"/>
    <x v="13"/>
    <x v="0"/>
    <x v="0"/>
    <x v="0"/>
    <n v="4"/>
    <n v="4"/>
    <n v="1"/>
    <n v="3"/>
    <n v="227.9"/>
    <x v="32"/>
    <m/>
    <n v="557.6865165165168"/>
    <x v="0"/>
    <n v="1.9139139139139139"/>
    <n v="557.6865165165168"/>
  </r>
  <r>
    <x v="751"/>
    <d v="2020-06-04T00:00:00"/>
    <x v="2"/>
    <x v="0"/>
    <x v="0"/>
    <x v="1"/>
    <x v="0"/>
    <x v="3"/>
    <x v="0"/>
    <x v="0"/>
    <x v="0"/>
    <n v="5"/>
    <n v="2"/>
    <n v="3"/>
    <n v="3"/>
    <n v="855.27"/>
    <x v="11"/>
    <m/>
    <n v="557.6865165165168"/>
    <x v="0"/>
    <n v="1.9139139139139139"/>
    <n v="557.6865165165168"/>
  </r>
  <r>
    <x v="752"/>
    <d v="2022-05-23T00:00:00"/>
    <x v="4"/>
    <x v="0"/>
    <x v="2"/>
    <x v="1"/>
    <x v="0"/>
    <x v="22"/>
    <x v="0"/>
    <x v="1"/>
    <x v="0"/>
    <n v="2"/>
    <n v="3"/>
    <n v="5"/>
    <n v="5"/>
    <n v="170.62"/>
    <x v="12"/>
    <m/>
    <n v="557.6865165165168"/>
    <x v="0"/>
    <n v="1.9139139139139139"/>
    <n v="557.6865165165168"/>
  </r>
  <r>
    <x v="753"/>
    <d v="2019-05-17T00:00:00"/>
    <x v="0"/>
    <x v="0"/>
    <x v="1"/>
    <x v="2"/>
    <x v="0"/>
    <x v="6"/>
    <x v="0"/>
    <x v="1"/>
    <x v="0"/>
    <n v="3"/>
    <n v="5"/>
    <n v="5"/>
    <n v="4"/>
    <n v="392.14"/>
    <x v="1"/>
    <m/>
    <n v="557.6865165165168"/>
    <x v="0"/>
    <n v="1.9139139139139139"/>
    <n v="557.6865165165168"/>
  </r>
  <r>
    <x v="754"/>
    <d v="2018-09-28T00:00:00"/>
    <x v="7"/>
    <x v="1"/>
    <x v="2"/>
    <x v="2"/>
    <x v="0"/>
    <x v="4"/>
    <x v="0"/>
    <x v="1"/>
    <x v="0"/>
    <n v="4"/>
    <n v="3"/>
    <n v="2"/>
    <n v="1"/>
    <n v="206.93"/>
    <x v="20"/>
    <m/>
    <n v="557.6865165165168"/>
    <x v="0"/>
    <n v="1.9139139139139139"/>
    <n v="557.6865165165168"/>
  </r>
  <r>
    <x v="755"/>
    <d v="2019-03-04T00:00:00"/>
    <x v="1"/>
    <x v="0"/>
    <x v="2"/>
    <x v="0"/>
    <x v="0"/>
    <x v="15"/>
    <x v="0"/>
    <x v="0"/>
    <x v="0"/>
    <n v="2"/>
    <n v="4"/>
    <n v="5"/>
    <n v="5"/>
    <n v="307.13"/>
    <x v="42"/>
    <m/>
    <n v="557.6865165165168"/>
    <x v="0"/>
    <n v="1.9139139139139139"/>
    <n v="557.6865165165168"/>
  </r>
  <r>
    <x v="756"/>
    <d v="2021-03-29T00:00:00"/>
    <x v="8"/>
    <x v="0"/>
    <x v="2"/>
    <x v="2"/>
    <x v="0"/>
    <x v="20"/>
    <x v="0"/>
    <x v="0"/>
    <x v="0"/>
    <n v="5"/>
    <n v="3"/>
    <n v="2"/>
    <n v="4"/>
    <n v="165.05"/>
    <x v="29"/>
    <m/>
    <n v="557.6865165165168"/>
    <x v="0"/>
    <n v="1.9139139139139139"/>
    <n v="557.6865165165168"/>
  </r>
  <r>
    <x v="757"/>
    <d v="2019-07-07T00:00:00"/>
    <x v="3"/>
    <x v="0"/>
    <x v="1"/>
    <x v="1"/>
    <x v="0"/>
    <x v="4"/>
    <x v="0"/>
    <x v="0"/>
    <x v="0"/>
    <n v="2"/>
    <n v="4"/>
    <n v="2"/>
    <n v="4"/>
    <n v="371.27"/>
    <x v="3"/>
    <m/>
    <n v="557.6865165165168"/>
    <x v="0"/>
    <n v="1.9139139139139139"/>
    <n v="557.6865165165168"/>
  </r>
  <r>
    <x v="758"/>
    <d v="2018-09-06T00:00:00"/>
    <x v="4"/>
    <x v="0"/>
    <x v="0"/>
    <x v="2"/>
    <x v="0"/>
    <x v="2"/>
    <x v="0"/>
    <x v="0"/>
    <x v="0"/>
    <n v="4"/>
    <n v="5"/>
    <n v="1"/>
    <n v="3"/>
    <n v="366.78"/>
    <x v="39"/>
    <m/>
    <n v="557.6865165165168"/>
    <x v="0"/>
    <n v="1.9139139139139139"/>
    <n v="557.6865165165168"/>
  </r>
  <r>
    <x v="759"/>
    <d v="2018-09-25T00:00:00"/>
    <x v="0"/>
    <x v="0"/>
    <x v="2"/>
    <x v="1"/>
    <x v="0"/>
    <x v="8"/>
    <x v="0"/>
    <x v="0"/>
    <x v="0"/>
    <n v="5"/>
    <n v="5"/>
    <n v="3"/>
    <n v="5"/>
    <n v="205.92"/>
    <x v="10"/>
    <m/>
    <n v="557.6865165165168"/>
    <x v="0"/>
    <n v="1.9139139139139139"/>
    <n v="557.6865165165168"/>
  </r>
  <r>
    <x v="760"/>
    <d v="2022-03-11T00:00:00"/>
    <x v="1"/>
    <x v="0"/>
    <x v="2"/>
    <x v="1"/>
    <x v="0"/>
    <x v="9"/>
    <x v="0"/>
    <x v="0"/>
    <x v="0"/>
    <n v="2"/>
    <n v="3"/>
    <n v="2"/>
    <n v="1"/>
    <n v="314.51"/>
    <x v="21"/>
    <m/>
    <n v="557.6865165165168"/>
    <x v="0"/>
    <n v="1.9139139139139139"/>
    <n v="557.6865165165168"/>
  </r>
  <r>
    <x v="761"/>
    <d v="2020-07-13T00:00:00"/>
    <x v="8"/>
    <x v="0"/>
    <x v="2"/>
    <x v="1"/>
    <x v="0"/>
    <x v="9"/>
    <x v="0"/>
    <x v="0"/>
    <x v="0"/>
    <n v="2"/>
    <n v="4"/>
    <n v="2"/>
    <n v="2"/>
    <n v="793.86"/>
    <x v="53"/>
    <m/>
    <n v="557.6865165165168"/>
    <x v="0"/>
    <n v="1.9139139139139139"/>
    <n v="557.6865165165168"/>
  </r>
  <r>
    <x v="762"/>
    <d v="2020-06-22T00:00:00"/>
    <x v="5"/>
    <x v="0"/>
    <x v="0"/>
    <x v="2"/>
    <x v="0"/>
    <x v="3"/>
    <x v="0"/>
    <x v="0"/>
    <x v="0"/>
    <n v="3"/>
    <n v="1"/>
    <n v="5"/>
    <n v="3"/>
    <n v="252.53"/>
    <x v="10"/>
    <m/>
    <n v="557.6865165165168"/>
    <x v="0"/>
    <n v="1.9139139139139139"/>
    <n v="557.6865165165168"/>
  </r>
  <r>
    <x v="763"/>
    <d v="2019-09-30T00:00:00"/>
    <x v="6"/>
    <x v="1"/>
    <x v="1"/>
    <x v="1"/>
    <x v="0"/>
    <x v="3"/>
    <x v="0"/>
    <x v="0"/>
    <x v="0"/>
    <n v="3"/>
    <n v="1"/>
    <n v="1"/>
    <n v="2"/>
    <n v="693.25"/>
    <x v="41"/>
    <m/>
    <n v="557.6865165165168"/>
    <x v="0"/>
    <n v="1.9139139139139139"/>
    <n v="557.6865165165168"/>
  </r>
  <r>
    <x v="764"/>
    <d v="2020-01-08T00:00:00"/>
    <x v="2"/>
    <x v="0"/>
    <x v="0"/>
    <x v="1"/>
    <x v="0"/>
    <x v="13"/>
    <x v="0"/>
    <x v="0"/>
    <x v="0"/>
    <n v="4"/>
    <n v="4"/>
    <n v="2"/>
    <n v="4"/>
    <n v="926.76"/>
    <x v="38"/>
    <m/>
    <n v="557.6865165165168"/>
    <x v="0"/>
    <n v="1.9139139139139139"/>
    <n v="557.6865165165168"/>
  </r>
  <r>
    <x v="765"/>
    <d v="2021-10-16T00:00:00"/>
    <x v="4"/>
    <x v="0"/>
    <x v="1"/>
    <x v="2"/>
    <x v="0"/>
    <x v="6"/>
    <x v="0"/>
    <x v="0"/>
    <x v="0"/>
    <n v="2"/>
    <n v="1"/>
    <n v="1"/>
    <n v="1"/>
    <n v="694.61"/>
    <x v="28"/>
    <m/>
    <n v="557.6865165165168"/>
    <x v="0"/>
    <n v="1.9139139139139139"/>
    <n v="557.6865165165168"/>
  </r>
  <r>
    <x v="766"/>
    <d v="2022-06-29T00:00:00"/>
    <x v="0"/>
    <x v="0"/>
    <x v="1"/>
    <x v="0"/>
    <x v="0"/>
    <x v="1"/>
    <x v="0"/>
    <x v="0"/>
    <x v="0"/>
    <n v="3"/>
    <n v="5"/>
    <n v="4"/>
    <n v="1"/>
    <n v="732.02"/>
    <x v="54"/>
    <m/>
    <n v="557.6865165165168"/>
    <x v="0"/>
    <n v="1.9139139139139139"/>
    <n v="557.6865165165168"/>
  </r>
  <r>
    <x v="767"/>
    <d v="2022-05-01T00:00:00"/>
    <x v="7"/>
    <x v="1"/>
    <x v="1"/>
    <x v="1"/>
    <x v="0"/>
    <x v="3"/>
    <x v="0"/>
    <x v="1"/>
    <x v="0"/>
    <n v="1"/>
    <n v="3"/>
    <n v="4"/>
    <n v="1"/>
    <n v="897.62"/>
    <x v="59"/>
    <m/>
    <n v="557.6865165165168"/>
    <x v="0"/>
    <n v="1.9139139139139139"/>
    <n v="557.6865165165168"/>
  </r>
  <r>
    <x v="768"/>
    <d v="2018-08-16T00:00:00"/>
    <x v="3"/>
    <x v="0"/>
    <x v="1"/>
    <x v="2"/>
    <x v="0"/>
    <x v="9"/>
    <x v="0"/>
    <x v="0"/>
    <x v="0"/>
    <n v="5"/>
    <n v="2"/>
    <n v="5"/>
    <n v="2"/>
    <n v="786.57"/>
    <x v="34"/>
    <m/>
    <n v="557.6865165165168"/>
    <x v="0"/>
    <n v="1.9139139139139139"/>
    <n v="557.6865165165168"/>
  </r>
  <r>
    <x v="769"/>
    <d v="2019-12-27T00:00:00"/>
    <x v="9"/>
    <x v="0"/>
    <x v="2"/>
    <x v="0"/>
    <x v="0"/>
    <x v="4"/>
    <x v="0"/>
    <x v="0"/>
    <x v="0"/>
    <n v="2"/>
    <n v="5"/>
    <n v="4"/>
    <n v="3"/>
    <n v="613.92999999999995"/>
    <x v="35"/>
    <m/>
    <n v="557.6865165165168"/>
    <x v="0"/>
    <n v="1.9139139139139139"/>
    <n v="557.6865165165168"/>
  </r>
  <r>
    <x v="770"/>
    <d v="2021-07-01T00:00:00"/>
    <x v="5"/>
    <x v="1"/>
    <x v="2"/>
    <x v="1"/>
    <x v="0"/>
    <x v="6"/>
    <x v="0"/>
    <x v="0"/>
    <x v="0"/>
    <n v="3"/>
    <n v="4"/>
    <n v="1"/>
    <n v="2"/>
    <n v="711.8"/>
    <x v="7"/>
    <m/>
    <n v="557.6865165165168"/>
    <x v="0"/>
    <n v="1.9139139139139139"/>
    <n v="557.6865165165168"/>
  </r>
  <r>
    <x v="771"/>
    <d v="2022-10-20T00:00:00"/>
    <x v="6"/>
    <x v="0"/>
    <x v="1"/>
    <x v="2"/>
    <x v="0"/>
    <x v="12"/>
    <x v="0"/>
    <x v="0"/>
    <x v="0"/>
    <n v="4"/>
    <n v="5"/>
    <n v="3"/>
    <n v="5"/>
    <n v="784.1"/>
    <x v="10"/>
    <m/>
    <n v="557.6865165165168"/>
    <x v="0"/>
    <n v="1.9139139139139139"/>
    <n v="557.6865165165168"/>
  </r>
  <r>
    <x v="772"/>
    <d v="2019-02-15T00:00:00"/>
    <x v="2"/>
    <x v="0"/>
    <x v="1"/>
    <x v="0"/>
    <x v="0"/>
    <x v="4"/>
    <x v="0"/>
    <x v="0"/>
    <x v="0"/>
    <n v="3"/>
    <n v="5"/>
    <n v="4"/>
    <n v="5"/>
    <n v="509.67"/>
    <x v="30"/>
    <m/>
    <n v="557.6865165165168"/>
    <x v="0"/>
    <n v="1.9139139139139139"/>
    <n v="557.6865165165168"/>
  </r>
  <r>
    <x v="773"/>
    <d v="2022-01-17T00:00:00"/>
    <x v="4"/>
    <x v="1"/>
    <x v="2"/>
    <x v="0"/>
    <x v="0"/>
    <x v="4"/>
    <x v="0"/>
    <x v="1"/>
    <x v="0"/>
    <n v="4"/>
    <n v="2"/>
    <n v="5"/>
    <n v="4"/>
    <n v="494.96"/>
    <x v="51"/>
    <m/>
    <n v="557.6865165165168"/>
    <x v="0"/>
    <n v="1.9139139139139139"/>
    <n v="557.6865165165168"/>
  </r>
  <r>
    <x v="774"/>
    <d v="2021-11-14T00:00:00"/>
    <x v="0"/>
    <x v="1"/>
    <x v="1"/>
    <x v="1"/>
    <x v="0"/>
    <x v="9"/>
    <x v="0"/>
    <x v="1"/>
    <x v="0"/>
    <n v="1"/>
    <n v="3"/>
    <n v="1"/>
    <n v="5"/>
    <n v="465.72"/>
    <x v="0"/>
    <m/>
    <n v="557.6865165165168"/>
    <x v="0"/>
    <n v="1.9139139139139139"/>
    <n v="557.6865165165168"/>
  </r>
  <r>
    <x v="775"/>
    <d v="2020-11-14T00:00:00"/>
    <x v="7"/>
    <x v="0"/>
    <x v="2"/>
    <x v="0"/>
    <x v="0"/>
    <x v="3"/>
    <x v="0"/>
    <x v="0"/>
    <x v="0"/>
    <n v="4"/>
    <n v="1"/>
    <n v="5"/>
    <n v="1"/>
    <n v="507.43"/>
    <x v="53"/>
    <m/>
    <n v="557.6865165165168"/>
    <x v="0"/>
    <n v="1.9139139139139139"/>
    <n v="557.6865165165168"/>
  </r>
  <r>
    <x v="776"/>
    <d v="2023-02-25T00:00:00"/>
    <x v="1"/>
    <x v="0"/>
    <x v="2"/>
    <x v="1"/>
    <x v="0"/>
    <x v="3"/>
    <x v="0"/>
    <x v="0"/>
    <x v="0"/>
    <n v="2"/>
    <n v="1"/>
    <n v="2"/>
    <n v="5"/>
    <n v="401.97"/>
    <x v="47"/>
    <m/>
    <n v="557.6865165165168"/>
    <x v="0"/>
    <n v="1.9139139139139139"/>
    <n v="557.6865165165168"/>
  </r>
  <r>
    <x v="777"/>
    <d v="2022-08-23T00:00:00"/>
    <x v="8"/>
    <x v="0"/>
    <x v="0"/>
    <x v="1"/>
    <x v="0"/>
    <x v="17"/>
    <x v="0"/>
    <x v="0"/>
    <x v="0"/>
    <n v="1"/>
    <n v="2"/>
    <n v="4"/>
    <n v="4"/>
    <n v="813.9"/>
    <x v="36"/>
    <m/>
    <n v="557.6865165165168"/>
    <x v="0"/>
    <n v="1.9139139139139139"/>
    <n v="557.6865165165168"/>
  </r>
  <r>
    <x v="778"/>
    <d v="2019-05-01T00:00:00"/>
    <x v="3"/>
    <x v="0"/>
    <x v="2"/>
    <x v="0"/>
    <x v="0"/>
    <x v="4"/>
    <x v="0"/>
    <x v="0"/>
    <x v="0"/>
    <n v="5"/>
    <n v="5"/>
    <n v="1"/>
    <n v="2"/>
    <n v="360.02"/>
    <x v="22"/>
    <m/>
    <n v="557.6865165165168"/>
    <x v="0"/>
    <n v="1.9139139139139139"/>
    <n v="557.6865165165168"/>
  </r>
  <r>
    <x v="779"/>
    <d v="2020-04-26T00:00:00"/>
    <x v="9"/>
    <x v="0"/>
    <x v="1"/>
    <x v="1"/>
    <x v="0"/>
    <x v="2"/>
    <x v="0"/>
    <x v="0"/>
    <x v="0"/>
    <n v="3"/>
    <n v="1"/>
    <n v="5"/>
    <n v="3"/>
    <n v="692.71"/>
    <x v="26"/>
    <m/>
    <n v="557.6865165165168"/>
    <x v="0"/>
    <n v="1.9139139139139139"/>
    <n v="557.6865165165168"/>
  </r>
  <r>
    <x v="780"/>
    <d v="2021-02-08T00:00:00"/>
    <x v="5"/>
    <x v="0"/>
    <x v="1"/>
    <x v="0"/>
    <x v="0"/>
    <x v="5"/>
    <x v="0"/>
    <x v="0"/>
    <x v="0"/>
    <n v="4"/>
    <n v="2"/>
    <n v="3"/>
    <n v="3"/>
    <n v="233.12"/>
    <x v="0"/>
    <m/>
    <n v="557.6865165165168"/>
    <x v="0"/>
    <n v="1.9139139139139139"/>
    <n v="557.6865165165168"/>
  </r>
  <r>
    <x v="781"/>
    <d v="2020-10-29T00:00:00"/>
    <x v="6"/>
    <x v="0"/>
    <x v="0"/>
    <x v="1"/>
    <x v="0"/>
    <x v="2"/>
    <x v="0"/>
    <x v="0"/>
    <x v="0"/>
    <n v="1"/>
    <n v="4"/>
    <n v="2"/>
    <n v="1"/>
    <n v="881.48"/>
    <x v="6"/>
    <m/>
    <n v="557.6865165165168"/>
    <x v="0"/>
    <n v="1.9139139139139139"/>
    <n v="557.6865165165168"/>
  </r>
  <r>
    <x v="782"/>
    <d v="2022-11-22T00:00:00"/>
    <x v="2"/>
    <x v="0"/>
    <x v="0"/>
    <x v="1"/>
    <x v="0"/>
    <x v="6"/>
    <x v="0"/>
    <x v="0"/>
    <x v="0"/>
    <n v="2"/>
    <n v="1"/>
    <n v="5"/>
    <n v="2"/>
    <n v="448.48"/>
    <x v="42"/>
    <m/>
    <n v="557.6865165165168"/>
    <x v="0"/>
    <n v="1.9139139139139139"/>
    <n v="557.6865165165168"/>
  </r>
  <r>
    <x v="783"/>
    <d v="2022-10-11T00:00:00"/>
    <x v="0"/>
    <x v="0"/>
    <x v="1"/>
    <x v="2"/>
    <x v="0"/>
    <x v="1"/>
    <x v="0"/>
    <x v="0"/>
    <x v="0"/>
    <n v="2"/>
    <n v="5"/>
    <n v="3"/>
    <n v="3"/>
    <n v="288.88"/>
    <x v="21"/>
    <m/>
    <n v="557.6865165165168"/>
    <x v="0"/>
    <n v="1.9139139139139139"/>
    <n v="557.6865165165168"/>
  </r>
  <r>
    <x v="784"/>
    <d v="2019-12-28T00:00:00"/>
    <x v="1"/>
    <x v="0"/>
    <x v="1"/>
    <x v="1"/>
    <x v="0"/>
    <x v="2"/>
    <x v="0"/>
    <x v="0"/>
    <x v="0"/>
    <n v="1"/>
    <n v="4"/>
    <n v="5"/>
    <n v="1"/>
    <n v="572.45000000000005"/>
    <x v="11"/>
    <m/>
    <n v="557.6865165165168"/>
    <x v="0"/>
    <n v="1.9139139139139139"/>
    <n v="557.6865165165168"/>
  </r>
  <r>
    <x v="785"/>
    <d v="2019-04-11T00:00:00"/>
    <x v="8"/>
    <x v="0"/>
    <x v="1"/>
    <x v="0"/>
    <x v="0"/>
    <x v="8"/>
    <x v="0"/>
    <x v="0"/>
    <x v="0"/>
    <n v="4"/>
    <n v="3"/>
    <n v="3"/>
    <n v="3"/>
    <n v="141.38"/>
    <x v="41"/>
    <m/>
    <n v="557.6865165165168"/>
    <x v="0"/>
    <n v="1.9139139139139139"/>
    <n v="557.6865165165168"/>
  </r>
  <r>
    <x v="786"/>
    <d v="2020-10-26T00:00:00"/>
    <x v="6"/>
    <x v="0"/>
    <x v="1"/>
    <x v="1"/>
    <x v="0"/>
    <x v="4"/>
    <x v="0"/>
    <x v="0"/>
    <x v="0"/>
    <n v="2"/>
    <n v="4"/>
    <n v="5"/>
    <n v="1"/>
    <n v="331.46"/>
    <x v="60"/>
    <m/>
    <n v="557.6865165165168"/>
    <x v="0"/>
    <n v="1.9139139139139139"/>
    <n v="557.6865165165168"/>
  </r>
  <r>
    <x v="787"/>
    <d v="2021-07-09T00:00:00"/>
    <x v="2"/>
    <x v="1"/>
    <x v="2"/>
    <x v="2"/>
    <x v="0"/>
    <x v="4"/>
    <x v="0"/>
    <x v="0"/>
    <x v="0"/>
    <n v="3"/>
    <n v="3"/>
    <n v="5"/>
    <n v="4"/>
    <n v="704.93"/>
    <x v="2"/>
    <m/>
    <n v="557.6865165165168"/>
    <x v="0"/>
    <n v="1.9139139139139139"/>
    <n v="557.6865165165168"/>
  </r>
  <r>
    <x v="788"/>
    <d v="2022-01-12T00:00:00"/>
    <x v="8"/>
    <x v="0"/>
    <x v="1"/>
    <x v="0"/>
    <x v="0"/>
    <x v="2"/>
    <x v="0"/>
    <x v="1"/>
    <x v="0"/>
    <n v="3"/>
    <n v="2"/>
    <n v="2"/>
    <n v="4"/>
    <n v="450.65"/>
    <x v="33"/>
    <m/>
    <n v="557.6865165165168"/>
    <x v="0"/>
    <n v="1.9139139139139139"/>
    <n v="557.6865165165168"/>
  </r>
  <r>
    <x v="789"/>
    <d v="2020-08-07T00:00:00"/>
    <x v="3"/>
    <x v="1"/>
    <x v="2"/>
    <x v="1"/>
    <x v="0"/>
    <x v="0"/>
    <x v="0"/>
    <x v="0"/>
    <x v="0"/>
    <n v="4"/>
    <n v="2"/>
    <n v="1"/>
    <n v="3"/>
    <n v="775.97"/>
    <x v="22"/>
    <m/>
    <n v="557.6865165165168"/>
    <x v="0"/>
    <n v="1.9139139139139139"/>
    <n v="557.6865165165168"/>
  </r>
  <r>
    <x v="790"/>
    <d v="2021-04-10T00:00:00"/>
    <x v="4"/>
    <x v="1"/>
    <x v="2"/>
    <x v="1"/>
    <x v="0"/>
    <x v="14"/>
    <x v="0"/>
    <x v="0"/>
    <x v="0"/>
    <n v="3"/>
    <n v="3"/>
    <n v="1"/>
    <n v="4"/>
    <n v="376"/>
    <x v="11"/>
    <m/>
    <n v="557.6865165165168"/>
    <x v="0"/>
    <n v="1.9139139139139139"/>
    <n v="557.6865165165168"/>
  </r>
  <r>
    <x v="791"/>
    <d v="2021-01-11T00:00:00"/>
    <x v="0"/>
    <x v="0"/>
    <x v="1"/>
    <x v="0"/>
    <x v="0"/>
    <x v="5"/>
    <x v="0"/>
    <x v="0"/>
    <x v="0"/>
    <n v="2"/>
    <n v="1"/>
    <n v="2"/>
    <n v="2"/>
    <n v="106.54"/>
    <x v="30"/>
    <m/>
    <n v="557.6865165165168"/>
    <x v="0"/>
    <n v="1.9139139139139139"/>
    <n v="557.6865165165168"/>
  </r>
  <r>
    <x v="792"/>
    <d v="2019-12-08T00:00:00"/>
    <x v="1"/>
    <x v="0"/>
    <x v="0"/>
    <x v="2"/>
    <x v="0"/>
    <x v="5"/>
    <x v="0"/>
    <x v="0"/>
    <x v="0"/>
    <n v="5"/>
    <n v="1"/>
    <n v="5"/>
    <n v="1"/>
    <n v="852.87"/>
    <x v="48"/>
    <m/>
    <n v="557.6865165165168"/>
    <x v="0"/>
    <n v="1.9139139139139139"/>
    <n v="557.6865165165168"/>
  </r>
  <r>
    <x v="793"/>
    <d v="2021-09-26T00:00:00"/>
    <x v="8"/>
    <x v="0"/>
    <x v="2"/>
    <x v="0"/>
    <x v="0"/>
    <x v="5"/>
    <x v="0"/>
    <x v="1"/>
    <x v="0"/>
    <n v="3"/>
    <n v="2"/>
    <n v="2"/>
    <n v="4"/>
    <n v="469.03"/>
    <x v="2"/>
    <m/>
    <n v="557.6865165165168"/>
    <x v="0"/>
    <n v="1.9139139139139139"/>
    <n v="557.6865165165168"/>
  </r>
  <r>
    <x v="794"/>
    <d v="2021-09-09T00:00:00"/>
    <x v="6"/>
    <x v="1"/>
    <x v="1"/>
    <x v="2"/>
    <x v="0"/>
    <x v="4"/>
    <x v="0"/>
    <x v="1"/>
    <x v="0"/>
    <n v="1"/>
    <n v="5"/>
    <n v="1"/>
    <n v="2"/>
    <n v="274.85000000000002"/>
    <x v="23"/>
    <m/>
    <n v="557.6865165165168"/>
    <x v="0"/>
    <n v="1.9139139139139139"/>
    <n v="557.6865165165168"/>
  </r>
  <r>
    <x v="795"/>
    <d v="2020-09-19T00:00:00"/>
    <x v="2"/>
    <x v="1"/>
    <x v="1"/>
    <x v="1"/>
    <x v="0"/>
    <x v="3"/>
    <x v="0"/>
    <x v="0"/>
    <x v="0"/>
    <n v="3"/>
    <n v="5"/>
    <n v="2"/>
    <n v="1"/>
    <n v="342.57"/>
    <x v="24"/>
    <m/>
    <n v="557.6865165165168"/>
    <x v="0"/>
    <n v="1.9139139139139139"/>
    <n v="557.6865165165168"/>
  </r>
  <r>
    <x v="796"/>
    <d v="2022-01-11T00:00:00"/>
    <x v="9"/>
    <x v="0"/>
    <x v="1"/>
    <x v="0"/>
    <x v="0"/>
    <x v="1"/>
    <x v="0"/>
    <x v="0"/>
    <x v="0"/>
    <n v="2"/>
    <n v="4"/>
    <n v="5"/>
    <n v="5"/>
    <n v="948.31"/>
    <x v="46"/>
    <m/>
    <n v="557.6865165165168"/>
    <x v="0"/>
    <n v="1.9139139139139139"/>
    <n v="557.6865165165168"/>
  </r>
  <r>
    <x v="797"/>
    <d v="2019-07-18T00:00:00"/>
    <x v="7"/>
    <x v="0"/>
    <x v="1"/>
    <x v="0"/>
    <x v="0"/>
    <x v="3"/>
    <x v="0"/>
    <x v="0"/>
    <x v="0"/>
    <n v="5"/>
    <n v="3"/>
    <n v="1"/>
    <n v="3"/>
    <n v="900.52"/>
    <x v="24"/>
    <m/>
    <n v="557.6865165165168"/>
    <x v="0"/>
    <n v="1.9139139139139139"/>
    <n v="557.6865165165168"/>
  </r>
  <r>
    <x v="798"/>
    <d v="2021-04-13T00:00:00"/>
    <x v="3"/>
    <x v="0"/>
    <x v="1"/>
    <x v="1"/>
    <x v="0"/>
    <x v="2"/>
    <x v="0"/>
    <x v="0"/>
    <x v="0"/>
    <n v="5"/>
    <n v="4"/>
    <n v="2"/>
    <n v="4"/>
    <n v="140.72"/>
    <x v="17"/>
    <m/>
    <n v="557.6865165165168"/>
    <x v="0"/>
    <n v="1.9139139139139139"/>
    <n v="557.6865165165168"/>
  </r>
  <r>
    <x v="799"/>
    <d v="2023-06-17T00:00:00"/>
    <x v="5"/>
    <x v="0"/>
    <x v="0"/>
    <x v="2"/>
    <x v="0"/>
    <x v="6"/>
    <x v="0"/>
    <x v="0"/>
    <x v="0"/>
    <n v="5"/>
    <n v="4"/>
    <n v="5"/>
    <n v="3"/>
    <n v="913.62"/>
    <x v="41"/>
    <m/>
    <n v="557.6865165165168"/>
    <x v="0"/>
    <n v="1.9139139139139139"/>
    <n v="557.6865165165168"/>
  </r>
  <r>
    <x v="800"/>
    <d v="2018-10-27T00:00:00"/>
    <x v="4"/>
    <x v="0"/>
    <x v="1"/>
    <x v="1"/>
    <x v="0"/>
    <x v="6"/>
    <x v="0"/>
    <x v="0"/>
    <x v="0"/>
    <n v="1"/>
    <n v="4"/>
    <n v="3"/>
    <n v="5"/>
    <n v="950.3"/>
    <x v="20"/>
    <m/>
    <n v="557.6865165165168"/>
    <x v="0"/>
    <n v="1.9139139139139139"/>
    <n v="557.6865165165168"/>
  </r>
  <r>
    <x v="801"/>
    <d v="2021-06-01T00:00:00"/>
    <x v="0"/>
    <x v="0"/>
    <x v="0"/>
    <x v="2"/>
    <x v="0"/>
    <x v="13"/>
    <x v="0"/>
    <x v="0"/>
    <x v="0"/>
    <n v="2"/>
    <n v="3"/>
    <n v="2"/>
    <n v="2"/>
    <n v="668.77"/>
    <x v="39"/>
    <m/>
    <n v="557.6865165165168"/>
    <x v="0"/>
    <n v="1.9139139139139139"/>
    <n v="557.6865165165168"/>
  </r>
  <r>
    <x v="802"/>
    <d v="2023-04-07T00:00:00"/>
    <x v="1"/>
    <x v="0"/>
    <x v="2"/>
    <x v="2"/>
    <x v="0"/>
    <x v="13"/>
    <x v="0"/>
    <x v="0"/>
    <x v="0"/>
    <n v="5"/>
    <n v="4"/>
    <n v="2"/>
    <n v="3"/>
    <n v="906.05"/>
    <x v="19"/>
    <m/>
    <n v="557.6865165165168"/>
    <x v="0"/>
    <n v="1.9139139139139139"/>
    <n v="557.6865165165168"/>
  </r>
  <r>
    <x v="803"/>
    <d v="2021-06-13T00:00:00"/>
    <x v="9"/>
    <x v="0"/>
    <x v="1"/>
    <x v="1"/>
    <x v="0"/>
    <x v="3"/>
    <x v="0"/>
    <x v="0"/>
    <x v="0"/>
    <n v="3"/>
    <n v="3"/>
    <n v="3"/>
    <n v="5"/>
    <n v="689.77"/>
    <x v="62"/>
    <m/>
    <n v="557.6865165165168"/>
    <x v="0"/>
    <n v="1.9139139139139139"/>
    <n v="557.6865165165168"/>
  </r>
  <r>
    <x v="804"/>
    <d v="2019-03-13T00:00:00"/>
    <x v="5"/>
    <x v="1"/>
    <x v="1"/>
    <x v="2"/>
    <x v="0"/>
    <x v="4"/>
    <x v="0"/>
    <x v="0"/>
    <x v="0"/>
    <n v="1"/>
    <n v="1"/>
    <n v="5"/>
    <n v="2"/>
    <n v="694.27"/>
    <x v="48"/>
    <m/>
    <n v="557.6865165165168"/>
    <x v="0"/>
    <n v="1.9139139139139139"/>
    <n v="557.6865165165168"/>
  </r>
  <r>
    <x v="805"/>
    <d v="2019-05-24T00:00:00"/>
    <x v="6"/>
    <x v="1"/>
    <x v="2"/>
    <x v="1"/>
    <x v="0"/>
    <x v="22"/>
    <x v="0"/>
    <x v="0"/>
    <x v="0"/>
    <n v="2"/>
    <n v="4"/>
    <n v="4"/>
    <n v="3"/>
    <n v="352.75"/>
    <x v="62"/>
    <m/>
    <n v="557.6865165165168"/>
    <x v="0"/>
    <n v="1.9139139139139139"/>
    <n v="557.6865165165168"/>
  </r>
  <r>
    <x v="806"/>
    <d v="2023-02-25T00:00:00"/>
    <x v="2"/>
    <x v="0"/>
    <x v="2"/>
    <x v="2"/>
    <x v="0"/>
    <x v="3"/>
    <x v="0"/>
    <x v="0"/>
    <x v="0"/>
    <n v="1"/>
    <n v="2"/>
    <n v="1"/>
    <n v="3"/>
    <n v="411.17"/>
    <x v="21"/>
    <m/>
    <n v="557.6865165165168"/>
    <x v="0"/>
    <n v="1.9139139139139139"/>
    <n v="557.6865165165168"/>
  </r>
  <r>
    <x v="807"/>
    <d v="2020-03-24T00:00:00"/>
    <x v="4"/>
    <x v="0"/>
    <x v="0"/>
    <x v="2"/>
    <x v="0"/>
    <x v="1"/>
    <x v="0"/>
    <x v="0"/>
    <x v="0"/>
    <n v="1"/>
    <n v="2"/>
    <n v="2"/>
    <n v="3"/>
    <n v="358.81"/>
    <x v="14"/>
    <m/>
    <n v="557.6865165165168"/>
    <x v="0"/>
    <n v="1.9139139139139139"/>
    <n v="557.6865165165168"/>
  </r>
  <r>
    <x v="808"/>
    <d v="2021-06-12T00:00:00"/>
    <x v="0"/>
    <x v="0"/>
    <x v="0"/>
    <x v="2"/>
    <x v="0"/>
    <x v="4"/>
    <x v="0"/>
    <x v="0"/>
    <x v="0"/>
    <n v="1"/>
    <n v="3"/>
    <n v="1"/>
    <n v="4"/>
    <n v="588.64"/>
    <x v="57"/>
    <m/>
    <n v="557.6865165165168"/>
    <x v="0"/>
    <n v="1.9139139139139139"/>
    <n v="557.6865165165168"/>
  </r>
  <r>
    <x v="809"/>
    <d v="2019-03-22T00:00:00"/>
    <x v="8"/>
    <x v="1"/>
    <x v="2"/>
    <x v="2"/>
    <x v="0"/>
    <x v="4"/>
    <x v="0"/>
    <x v="0"/>
    <x v="0"/>
    <n v="1"/>
    <n v="4"/>
    <n v="2"/>
    <n v="1"/>
    <n v="472.18"/>
    <x v="26"/>
    <m/>
    <n v="557.6865165165168"/>
    <x v="0"/>
    <n v="1.9139139139139139"/>
    <n v="557.6865165165168"/>
  </r>
  <r>
    <x v="810"/>
    <d v="2021-03-08T00:00:00"/>
    <x v="3"/>
    <x v="1"/>
    <x v="1"/>
    <x v="1"/>
    <x v="0"/>
    <x v="4"/>
    <x v="0"/>
    <x v="0"/>
    <x v="0"/>
    <n v="1"/>
    <n v="2"/>
    <n v="4"/>
    <n v="2"/>
    <n v="758.79"/>
    <x v="30"/>
    <m/>
    <n v="557.6865165165168"/>
    <x v="0"/>
    <n v="1.9139139139139139"/>
    <n v="557.6865165165168"/>
  </r>
  <r>
    <x v="811"/>
    <d v="2020-05-15T00:00:00"/>
    <x v="9"/>
    <x v="0"/>
    <x v="0"/>
    <x v="1"/>
    <x v="0"/>
    <x v="0"/>
    <x v="0"/>
    <x v="0"/>
    <x v="0"/>
    <n v="5"/>
    <n v="3"/>
    <n v="5"/>
    <n v="3"/>
    <n v="921.81"/>
    <x v="6"/>
    <m/>
    <n v="557.6865165165168"/>
    <x v="0"/>
    <n v="1.9139139139139139"/>
    <n v="557.6865165165168"/>
  </r>
  <r>
    <x v="812"/>
    <d v="2023-01-24T00:00:00"/>
    <x v="5"/>
    <x v="0"/>
    <x v="1"/>
    <x v="2"/>
    <x v="0"/>
    <x v="23"/>
    <x v="0"/>
    <x v="0"/>
    <x v="0"/>
    <n v="3"/>
    <n v="5"/>
    <n v="1"/>
    <n v="3"/>
    <n v="405.08"/>
    <x v="2"/>
    <m/>
    <n v="557.6865165165168"/>
    <x v="0"/>
    <n v="1.9139139139139139"/>
    <n v="557.6865165165168"/>
  </r>
  <r>
    <x v="813"/>
    <d v="2021-01-06T00:00:00"/>
    <x v="6"/>
    <x v="1"/>
    <x v="1"/>
    <x v="2"/>
    <x v="0"/>
    <x v="4"/>
    <x v="0"/>
    <x v="1"/>
    <x v="0"/>
    <n v="2"/>
    <n v="5"/>
    <n v="2"/>
    <n v="3"/>
    <n v="784.22"/>
    <x v="3"/>
    <m/>
    <n v="557.6865165165168"/>
    <x v="0"/>
    <n v="1.9139139139139139"/>
    <n v="557.6865165165168"/>
  </r>
  <r>
    <x v="814"/>
    <d v="2021-04-16T00:00:00"/>
    <x v="2"/>
    <x v="0"/>
    <x v="2"/>
    <x v="2"/>
    <x v="0"/>
    <x v="9"/>
    <x v="0"/>
    <x v="1"/>
    <x v="0"/>
    <n v="1"/>
    <n v="3"/>
    <n v="5"/>
    <n v="4"/>
    <n v="443.99"/>
    <x v="46"/>
    <m/>
    <n v="557.6865165165168"/>
    <x v="0"/>
    <n v="1.9139139139139139"/>
    <n v="557.6865165165168"/>
  </r>
  <r>
    <x v="815"/>
    <d v="2021-09-22T00:00:00"/>
    <x v="4"/>
    <x v="1"/>
    <x v="0"/>
    <x v="1"/>
    <x v="0"/>
    <x v="6"/>
    <x v="0"/>
    <x v="1"/>
    <x v="0"/>
    <n v="1"/>
    <n v="5"/>
    <n v="1"/>
    <n v="3"/>
    <n v="609.9"/>
    <x v="21"/>
    <m/>
    <n v="557.6865165165168"/>
    <x v="0"/>
    <n v="1.9139139139139139"/>
    <n v="557.6865165165168"/>
  </r>
  <r>
    <x v="816"/>
    <d v="2022-06-28T00:00:00"/>
    <x v="0"/>
    <x v="0"/>
    <x v="1"/>
    <x v="0"/>
    <x v="0"/>
    <x v="9"/>
    <x v="0"/>
    <x v="0"/>
    <x v="0"/>
    <n v="4"/>
    <n v="5"/>
    <n v="2"/>
    <n v="5"/>
    <n v="742.16"/>
    <x v="58"/>
    <m/>
    <n v="557.6865165165168"/>
    <x v="0"/>
    <n v="1.9139139139139139"/>
    <n v="557.6865165165168"/>
  </r>
  <r>
    <x v="817"/>
    <d v="2020-08-17T00:00:00"/>
    <x v="7"/>
    <x v="0"/>
    <x v="2"/>
    <x v="0"/>
    <x v="0"/>
    <x v="4"/>
    <x v="0"/>
    <x v="0"/>
    <x v="0"/>
    <n v="1"/>
    <n v="1"/>
    <n v="3"/>
    <n v="3"/>
    <n v="517.74"/>
    <x v="21"/>
    <m/>
    <n v="557.6865165165168"/>
    <x v="0"/>
    <n v="1.9139139139139139"/>
    <n v="557.6865165165168"/>
  </r>
  <r>
    <x v="818"/>
    <d v="2023-04-03T00:00:00"/>
    <x v="1"/>
    <x v="0"/>
    <x v="2"/>
    <x v="2"/>
    <x v="0"/>
    <x v="3"/>
    <x v="0"/>
    <x v="0"/>
    <x v="0"/>
    <n v="3"/>
    <n v="4"/>
    <n v="3"/>
    <n v="4"/>
    <n v="350.59"/>
    <x v="41"/>
    <m/>
    <n v="557.6865165165168"/>
    <x v="0"/>
    <n v="1.9139139139139139"/>
    <n v="557.6865165165168"/>
  </r>
  <r>
    <x v="819"/>
    <d v="2023-05-26T00:00:00"/>
    <x v="8"/>
    <x v="0"/>
    <x v="1"/>
    <x v="0"/>
    <x v="0"/>
    <x v="6"/>
    <x v="0"/>
    <x v="1"/>
    <x v="0"/>
    <n v="5"/>
    <n v="2"/>
    <n v="3"/>
    <n v="1"/>
    <n v="546.94000000000005"/>
    <x v="16"/>
    <m/>
    <n v="557.6865165165168"/>
    <x v="0"/>
    <n v="1.9139139139139139"/>
    <n v="557.6865165165168"/>
  </r>
  <r>
    <x v="820"/>
    <d v="2021-04-10T00:00:00"/>
    <x v="3"/>
    <x v="0"/>
    <x v="1"/>
    <x v="2"/>
    <x v="0"/>
    <x v="5"/>
    <x v="0"/>
    <x v="0"/>
    <x v="0"/>
    <n v="2"/>
    <n v="5"/>
    <n v="2"/>
    <n v="4"/>
    <n v="514.37"/>
    <x v="46"/>
    <m/>
    <n v="557.6865165165168"/>
    <x v="0"/>
    <n v="1.9139139139139139"/>
    <n v="557.6865165165168"/>
  </r>
  <r>
    <x v="821"/>
    <d v="2023-04-18T00:00:00"/>
    <x v="9"/>
    <x v="0"/>
    <x v="0"/>
    <x v="0"/>
    <x v="0"/>
    <x v="4"/>
    <x v="0"/>
    <x v="0"/>
    <x v="0"/>
    <n v="5"/>
    <n v="4"/>
    <n v="1"/>
    <n v="5"/>
    <n v="786.98"/>
    <x v="59"/>
    <m/>
    <n v="557.6865165165168"/>
    <x v="0"/>
    <n v="1.9139139139139139"/>
    <n v="557.6865165165168"/>
  </r>
  <r>
    <x v="822"/>
    <d v="2021-10-13T00:00:00"/>
    <x v="5"/>
    <x v="0"/>
    <x v="0"/>
    <x v="0"/>
    <x v="0"/>
    <x v="3"/>
    <x v="0"/>
    <x v="0"/>
    <x v="0"/>
    <n v="5"/>
    <n v="5"/>
    <n v="3"/>
    <n v="4"/>
    <n v="852.21"/>
    <x v="17"/>
    <m/>
    <n v="557.6865165165168"/>
    <x v="0"/>
    <n v="1.9139139139139139"/>
    <n v="557.6865165165168"/>
  </r>
  <r>
    <x v="823"/>
    <d v="2020-10-10T00:00:00"/>
    <x v="6"/>
    <x v="0"/>
    <x v="2"/>
    <x v="1"/>
    <x v="5"/>
    <x v="8"/>
    <x v="0"/>
    <x v="0"/>
    <x v="0"/>
    <n v="5"/>
    <n v="1"/>
    <n v="1"/>
    <n v="4"/>
    <n v="761.63"/>
    <x v="32"/>
    <m/>
    <n v="557.6865165165168"/>
    <x v="0"/>
    <n v="1.9139139139139139"/>
    <n v="557.6865165165168"/>
  </r>
  <r>
    <x v="824"/>
    <d v="2019-01-20T00:00:00"/>
    <x v="0"/>
    <x v="0"/>
    <x v="2"/>
    <x v="1"/>
    <x v="3"/>
    <x v="1"/>
    <x v="0"/>
    <x v="0"/>
    <x v="0"/>
    <n v="3"/>
    <n v="4"/>
    <n v="3"/>
    <n v="5"/>
    <n v="202.62"/>
    <x v="32"/>
    <m/>
    <n v="557.6865165165168"/>
    <x v="0"/>
    <n v="1.9139139139139139"/>
    <n v="557.6865165165168"/>
  </r>
  <r>
    <x v="825"/>
    <d v="2021-05-09T00:00:00"/>
    <x v="8"/>
    <x v="0"/>
    <x v="1"/>
    <x v="1"/>
    <x v="5"/>
    <x v="1"/>
    <x v="0"/>
    <x v="0"/>
    <x v="0"/>
    <n v="4"/>
    <n v="2"/>
    <n v="2"/>
    <n v="5"/>
    <n v="414.75"/>
    <x v="4"/>
    <m/>
    <n v="557.6865165165168"/>
    <x v="0"/>
    <n v="1.9139139139139139"/>
    <n v="557.6865165165168"/>
  </r>
  <r>
    <x v="826"/>
    <d v="2023-07-29T00:00:00"/>
    <x v="5"/>
    <x v="0"/>
    <x v="0"/>
    <x v="2"/>
    <x v="5"/>
    <x v="4"/>
    <x v="0"/>
    <x v="0"/>
    <x v="0"/>
    <n v="5"/>
    <n v="4"/>
    <n v="2"/>
    <n v="4"/>
    <n v="344.55"/>
    <x v="52"/>
    <m/>
    <n v="557.6865165165168"/>
    <x v="0"/>
    <n v="1.9139139139139139"/>
    <n v="557.6865165165168"/>
  </r>
  <r>
    <x v="827"/>
    <d v="2019-08-24T00:00:00"/>
    <x v="1"/>
    <x v="0"/>
    <x v="2"/>
    <x v="0"/>
    <x v="5"/>
    <x v="0"/>
    <x v="0"/>
    <x v="1"/>
    <x v="0"/>
    <n v="4"/>
    <n v="2"/>
    <n v="5"/>
    <n v="1"/>
    <n v="777.46"/>
    <x v="31"/>
    <m/>
    <n v="557.6865165165168"/>
    <x v="0"/>
    <n v="1.9139139139139139"/>
    <n v="557.6865165165168"/>
  </r>
  <r>
    <x v="828"/>
    <d v="2018-12-25T00:00:00"/>
    <x v="5"/>
    <x v="0"/>
    <x v="2"/>
    <x v="2"/>
    <x v="5"/>
    <x v="13"/>
    <x v="0"/>
    <x v="0"/>
    <x v="0"/>
    <n v="5"/>
    <n v="1"/>
    <n v="5"/>
    <n v="3"/>
    <n v="948.71"/>
    <x v="41"/>
    <m/>
    <n v="557.6865165165168"/>
    <x v="0"/>
    <n v="1.9139139139139139"/>
    <n v="557.6865165165168"/>
  </r>
  <r>
    <x v="829"/>
    <d v="2021-05-27T00:00:00"/>
    <x v="3"/>
    <x v="0"/>
    <x v="0"/>
    <x v="1"/>
    <x v="5"/>
    <x v="9"/>
    <x v="0"/>
    <x v="1"/>
    <x v="0"/>
    <n v="1"/>
    <n v="5"/>
    <n v="5"/>
    <n v="5"/>
    <n v="308.77"/>
    <x v="6"/>
    <m/>
    <n v="557.6865165165168"/>
    <x v="0"/>
    <n v="1.9139139139139139"/>
    <n v="557.6865165165168"/>
  </r>
  <r>
    <x v="830"/>
    <d v="2023-02-02T00:00:00"/>
    <x v="3"/>
    <x v="0"/>
    <x v="1"/>
    <x v="2"/>
    <x v="5"/>
    <x v="7"/>
    <x v="0"/>
    <x v="0"/>
    <x v="0"/>
    <n v="1"/>
    <n v="5"/>
    <n v="2"/>
    <n v="1"/>
    <n v="891.25"/>
    <x v="15"/>
    <m/>
    <n v="557.6865165165168"/>
    <x v="0"/>
    <n v="1.9139139139139139"/>
    <n v="557.6865165165168"/>
  </r>
  <r>
    <x v="831"/>
    <d v="2022-12-06T00:00:00"/>
    <x v="2"/>
    <x v="0"/>
    <x v="1"/>
    <x v="2"/>
    <x v="5"/>
    <x v="1"/>
    <x v="0"/>
    <x v="0"/>
    <x v="0"/>
    <n v="5"/>
    <n v="1"/>
    <n v="5"/>
    <n v="2"/>
    <n v="659.9"/>
    <x v="26"/>
    <m/>
    <n v="557.6865165165168"/>
    <x v="0"/>
    <n v="1.9139139139139139"/>
    <n v="557.6865165165168"/>
  </r>
  <r>
    <x v="832"/>
    <d v="2021-07-23T00:00:00"/>
    <x v="8"/>
    <x v="0"/>
    <x v="2"/>
    <x v="1"/>
    <x v="5"/>
    <x v="3"/>
    <x v="0"/>
    <x v="0"/>
    <x v="0"/>
    <n v="5"/>
    <n v="3"/>
    <n v="3"/>
    <n v="2"/>
    <n v="858.72"/>
    <x v="41"/>
    <m/>
    <n v="557.6865165165168"/>
    <x v="0"/>
    <n v="1.9139139139139139"/>
    <n v="557.6865165165168"/>
  </r>
  <r>
    <x v="833"/>
    <d v="2019-11-16T00:00:00"/>
    <x v="3"/>
    <x v="0"/>
    <x v="0"/>
    <x v="2"/>
    <x v="5"/>
    <x v="6"/>
    <x v="0"/>
    <x v="0"/>
    <x v="0"/>
    <n v="1"/>
    <n v="5"/>
    <n v="3"/>
    <n v="5"/>
    <n v="380.24"/>
    <x v="49"/>
    <m/>
    <n v="557.6865165165168"/>
    <x v="0"/>
    <n v="1.9139139139139139"/>
    <n v="557.6865165165168"/>
  </r>
  <r>
    <x v="834"/>
    <d v="2020-03-08T00:00:00"/>
    <x v="9"/>
    <x v="0"/>
    <x v="1"/>
    <x v="1"/>
    <x v="5"/>
    <x v="5"/>
    <x v="0"/>
    <x v="1"/>
    <x v="0"/>
    <n v="5"/>
    <n v="3"/>
    <n v="1"/>
    <n v="5"/>
    <n v="505.4"/>
    <x v="28"/>
    <m/>
    <n v="557.6865165165168"/>
    <x v="0"/>
    <n v="1.9139139139139139"/>
    <n v="557.6865165165168"/>
  </r>
  <r>
    <x v="835"/>
    <d v="2019-01-14T00:00:00"/>
    <x v="5"/>
    <x v="0"/>
    <x v="2"/>
    <x v="2"/>
    <x v="5"/>
    <x v="6"/>
    <x v="0"/>
    <x v="1"/>
    <x v="0"/>
    <n v="5"/>
    <n v="3"/>
    <n v="4"/>
    <n v="3"/>
    <n v="609.01"/>
    <x v="9"/>
    <m/>
    <n v="557.6865165165168"/>
    <x v="0"/>
    <n v="1.9139139139139139"/>
    <n v="557.6865165165168"/>
  </r>
  <r>
    <x v="836"/>
    <d v="2020-02-29T00:00:00"/>
    <x v="6"/>
    <x v="0"/>
    <x v="2"/>
    <x v="0"/>
    <x v="2"/>
    <x v="7"/>
    <x v="0"/>
    <x v="1"/>
    <x v="0"/>
    <n v="1"/>
    <n v="4"/>
    <n v="3"/>
    <n v="3"/>
    <n v="656.38"/>
    <x v="54"/>
    <m/>
    <n v="557.6865165165168"/>
    <x v="0"/>
    <n v="1.9139139139139139"/>
    <n v="557.6865165165168"/>
  </r>
  <r>
    <x v="837"/>
    <d v="2022-11-25T00:00:00"/>
    <x v="2"/>
    <x v="0"/>
    <x v="0"/>
    <x v="2"/>
    <x v="4"/>
    <x v="4"/>
    <x v="0"/>
    <x v="1"/>
    <x v="0"/>
    <n v="3"/>
    <n v="2"/>
    <n v="5"/>
    <n v="5"/>
    <n v="692.63"/>
    <x v="32"/>
    <m/>
    <n v="557.6865165165168"/>
    <x v="0"/>
    <n v="1.9139139139139139"/>
    <n v="557.6865165165168"/>
  </r>
  <r>
    <x v="838"/>
    <d v="2022-09-15T00:00:00"/>
    <x v="8"/>
    <x v="0"/>
    <x v="1"/>
    <x v="1"/>
    <x v="5"/>
    <x v="3"/>
    <x v="0"/>
    <x v="0"/>
    <x v="0"/>
    <n v="3"/>
    <n v="5"/>
    <n v="2"/>
    <n v="3"/>
    <n v="633.72"/>
    <x v="37"/>
    <m/>
    <n v="557.6865165165168"/>
    <x v="0"/>
    <n v="1.9139139139139139"/>
    <n v="557.6865165165168"/>
  </r>
  <r>
    <x v="839"/>
    <d v="2021-08-11T00:00:00"/>
    <x v="3"/>
    <x v="0"/>
    <x v="1"/>
    <x v="0"/>
    <x v="5"/>
    <x v="16"/>
    <x v="0"/>
    <x v="0"/>
    <x v="0"/>
    <n v="3"/>
    <n v="2"/>
    <n v="5"/>
    <n v="2"/>
    <n v="517.62"/>
    <x v="20"/>
    <m/>
    <n v="557.6865165165168"/>
    <x v="0"/>
    <n v="1.9139139139139139"/>
    <n v="557.6865165165168"/>
  </r>
  <r>
    <x v="840"/>
    <d v="2023-08-03T00:00:00"/>
    <x v="9"/>
    <x v="0"/>
    <x v="0"/>
    <x v="2"/>
    <x v="5"/>
    <x v="13"/>
    <x v="0"/>
    <x v="1"/>
    <x v="0"/>
    <n v="1"/>
    <n v="2"/>
    <n v="5"/>
    <n v="4"/>
    <n v="231.76"/>
    <x v="24"/>
    <m/>
    <n v="557.6865165165168"/>
    <x v="0"/>
    <n v="1.9139139139139139"/>
    <n v="557.6865165165168"/>
  </r>
  <r>
    <x v="841"/>
    <d v="2022-03-14T00:00:00"/>
    <x v="5"/>
    <x v="0"/>
    <x v="2"/>
    <x v="1"/>
    <x v="2"/>
    <x v="4"/>
    <x v="0"/>
    <x v="1"/>
    <x v="0"/>
    <n v="3"/>
    <n v="4"/>
    <n v="5"/>
    <n v="2"/>
    <n v="605.12"/>
    <x v="7"/>
    <m/>
    <n v="557.6865165165168"/>
    <x v="0"/>
    <n v="1.9139139139139139"/>
    <n v="557.6865165165168"/>
  </r>
  <r>
    <x v="842"/>
    <d v="2020-09-01T00:00:00"/>
    <x v="6"/>
    <x v="0"/>
    <x v="1"/>
    <x v="2"/>
    <x v="2"/>
    <x v="20"/>
    <x v="0"/>
    <x v="1"/>
    <x v="0"/>
    <n v="1"/>
    <n v="3"/>
    <n v="1"/>
    <n v="1"/>
    <n v="297.12"/>
    <x v="12"/>
    <m/>
    <n v="557.6865165165168"/>
    <x v="0"/>
    <n v="1.9139139139139139"/>
    <n v="557.6865165165168"/>
  </r>
  <r>
    <x v="843"/>
    <d v="2021-10-31T00:00:00"/>
    <x v="6"/>
    <x v="0"/>
    <x v="0"/>
    <x v="1"/>
    <x v="4"/>
    <x v="3"/>
    <x v="0"/>
    <x v="0"/>
    <x v="0"/>
    <n v="4"/>
    <n v="5"/>
    <n v="5"/>
    <n v="2"/>
    <n v="384.43"/>
    <x v="50"/>
    <m/>
    <n v="557.6865165165168"/>
    <x v="0"/>
    <n v="1.9139139139139139"/>
    <n v="557.6865165165168"/>
  </r>
  <r>
    <x v="844"/>
    <d v="2020-02-26T00:00:00"/>
    <x v="3"/>
    <x v="0"/>
    <x v="1"/>
    <x v="1"/>
    <x v="5"/>
    <x v="4"/>
    <x v="0"/>
    <x v="0"/>
    <x v="0"/>
    <n v="5"/>
    <n v="1"/>
    <n v="4"/>
    <n v="4"/>
    <n v="969.95"/>
    <x v="8"/>
    <m/>
    <n v="557.6865165165168"/>
    <x v="0"/>
    <n v="1.9139139139139139"/>
    <n v="557.6865165165168"/>
  </r>
  <r>
    <x v="845"/>
    <d v="2018-08-10T00:00:00"/>
    <x v="5"/>
    <x v="0"/>
    <x v="1"/>
    <x v="1"/>
    <x v="5"/>
    <x v="3"/>
    <x v="0"/>
    <x v="0"/>
    <x v="0"/>
    <n v="3"/>
    <n v="3"/>
    <n v="4"/>
    <n v="5"/>
    <n v="719.7"/>
    <x v="60"/>
    <m/>
    <n v="557.6865165165168"/>
    <x v="0"/>
    <n v="1.9139139139139139"/>
    <n v="557.6865165165168"/>
  </r>
  <r>
    <x v="846"/>
    <d v="2020-09-30T00:00:00"/>
    <x v="4"/>
    <x v="0"/>
    <x v="0"/>
    <x v="0"/>
    <x v="5"/>
    <x v="12"/>
    <x v="0"/>
    <x v="1"/>
    <x v="0"/>
    <n v="1"/>
    <n v="1"/>
    <n v="1"/>
    <n v="1"/>
    <n v="355.83"/>
    <x v="37"/>
    <m/>
    <n v="557.6865165165168"/>
    <x v="0"/>
    <n v="1.9139139139139139"/>
    <n v="557.6865165165168"/>
  </r>
  <r>
    <x v="847"/>
    <d v="2021-04-01T00:00:00"/>
    <x v="0"/>
    <x v="0"/>
    <x v="0"/>
    <x v="2"/>
    <x v="2"/>
    <x v="13"/>
    <x v="0"/>
    <x v="1"/>
    <x v="0"/>
    <n v="1"/>
    <n v="3"/>
    <n v="2"/>
    <n v="3"/>
    <n v="754.47"/>
    <x v="21"/>
    <m/>
    <n v="557.6865165165168"/>
    <x v="0"/>
    <n v="1.9139139139139139"/>
    <n v="557.6865165165168"/>
  </r>
  <r>
    <x v="848"/>
    <d v="2021-03-21T00:00:00"/>
    <x v="1"/>
    <x v="0"/>
    <x v="1"/>
    <x v="2"/>
    <x v="2"/>
    <x v="5"/>
    <x v="0"/>
    <x v="1"/>
    <x v="0"/>
    <n v="5"/>
    <n v="4"/>
    <n v="4"/>
    <n v="2"/>
    <n v="890.39"/>
    <x v="25"/>
    <m/>
    <n v="557.6865165165168"/>
    <x v="0"/>
    <n v="1.9139139139139139"/>
    <n v="557.6865165165168"/>
  </r>
  <r>
    <x v="849"/>
    <d v="2021-11-03T00:00:00"/>
    <x v="0"/>
    <x v="0"/>
    <x v="2"/>
    <x v="0"/>
    <x v="4"/>
    <x v="6"/>
    <x v="0"/>
    <x v="0"/>
    <x v="0"/>
    <n v="1"/>
    <n v="3"/>
    <n v="4"/>
    <n v="3"/>
    <n v="268.77999999999997"/>
    <x v="58"/>
    <m/>
    <n v="557.6865165165168"/>
    <x v="0"/>
    <n v="1.9139139139139139"/>
    <n v="557.6865165165168"/>
  </r>
  <r>
    <x v="850"/>
    <d v="2019-06-22T00:00:00"/>
    <x v="1"/>
    <x v="0"/>
    <x v="1"/>
    <x v="2"/>
    <x v="5"/>
    <x v="1"/>
    <x v="0"/>
    <x v="0"/>
    <x v="0"/>
    <n v="3"/>
    <n v="2"/>
    <n v="2"/>
    <n v="4"/>
    <n v="930.72"/>
    <x v="48"/>
    <m/>
    <n v="557.6865165165168"/>
    <x v="0"/>
    <n v="1.9139139139139139"/>
    <n v="557.6865165165168"/>
  </r>
  <r>
    <x v="851"/>
    <d v="2019-11-12T00:00:00"/>
    <x v="8"/>
    <x v="0"/>
    <x v="0"/>
    <x v="2"/>
    <x v="5"/>
    <x v="12"/>
    <x v="0"/>
    <x v="0"/>
    <x v="0"/>
    <n v="1"/>
    <n v="2"/>
    <n v="3"/>
    <n v="5"/>
    <n v="924.85"/>
    <x v="34"/>
    <m/>
    <n v="557.6865165165168"/>
    <x v="0"/>
    <n v="1.9139139139139139"/>
    <n v="557.6865165165168"/>
  </r>
  <r>
    <x v="852"/>
    <d v="2022-09-20T00:00:00"/>
    <x v="3"/>
    <x v="0"/>
    <x v="2"/>
    <x v="1"/>
    <x v="5"/>
    <x v="3"/>
    <x v="0"/>
    <x v="1"/>
    <x v="0"/>
    <n v="1"/>
    <n v="4"/>
    <n v="5"/>
    <n v="5"/>
    <n v="284.38"/>
    <x v="58"/>
    <m/>
    <n v="557.6865165165168"/>
    <x v="0"/>
    <n v="1.9139139139139139"/>
    <n v="557.6865165165168"/>
  </r>
  <r>
    <x v="853"/>
    <d v="2023-01-27T00:00:00"/>
    <x v="9"/>
    <x v="0"/>
    <x v="1"/>
    <x v="1"/>
    <x v="5"/>
    <x v="10"/>
    <x v="0"/>
    <x v="1"/>
    <x v="0"/>
    <n v="2"/>
    <n v="4"/>
    <n v="4"/>
    <n v="1"/>
    <n v="395.1"/>
    <x v="54"/>
    <m/>
    <n v="557.6865165165168"/>
    <x v="0"/>
    <n v="1.9139139139139139"/>
    <n v="557.6865165165168"/>
  </r>
  <r>
    <x v="854"/>
    <d v="2021-02-21T00:00:00"/>
    <x v="5"/>
    <x v="0"/>
    <x v="0"/>
    <x v="0"/>
    <x v="2"/>
    <x v="4"/>
    <x v="0"/>
    <x v="1"/>
    <x v="0"/>
    <n v="4"/>
    <n v="2"/>
    <n v="3"/>
    <n v="2"/>
    <n v="501.64"/>
    <x v="8"/>
    <m/>
    <n v="557.6865165165168"/>
    <x v="0"/>
    <n v="1.9139139139139139"/>
    <n v="557.6865165165168"/>
  </r>
  <r>
    <x v="855"/>
    <d v="2022-03-04T00:00:00"/>
    <x v="6"/>
    <x v="0"/>
    <x v="2"/>
    <x v="2"/>
    <x v="2"/>
    <x v="3"/>
    <x v="0"/>
    <x v="1"/>
    <x v="0"/>
    <n v="4"/>
    <n v="3"/>
    <n v="1"/>
    <n v="5"/>
    <n v="792.72"/>
    <x v="2"/>
    <m/>
    <n v="557.6865165165168"/>
    <x v="0"/>
    <n v="1.9139139139139139"/>
    <n v="557.6865165165168"/>
  </r>
  <r>
    <x v="856"/>
    <d v="2021-08-02T00:00:00"/>
    <x v="1"/>
    <x v="0"/>
    <x v="1"/>
    <x v="2"/>
    <x v="5"/>
    <x v="23"/>
    <x v="0"/>
    <x v="0"/>
    <x v="0"/>
    <n v="1"/>
    <n v="2"/>
    <n v="3"/>
    <n v="3"/>
    <n v="870.01"/>
    <x v="61"/>
    <m/>
    <n v="557.6865165165168"/>
    <x v="0"/>
    <n v="1.9139139139139139"/>
    <n v="557.6865165165168"/>
  </r>
  <r>
    <x v="857"/>
    <d v="2022-03-04T00:00:00"/>
    <x v="8"/>
    <x v="0"/>
    <x v="2"/>
    <x v="2"/>
    <x v="5"/>
    <x v="4"/>
    <x v="0"/>
    <x v="0"/>
    <x v="0"/>
    <n v="3"/>
    <n v="4"/>
    <n v="5"/>
    <n v="2"/>
    <n v="610.05999999999995"/>
    <x v="57"/>
    <m/>
    <n v="557.6865165165168"/>
    <x v="0"/>
    <n v="1.9139139139139139"/>
    <n v="557.6865165165168"/>
  </r>
  <r>
    <x v="858"/>
    <d v="2021-03-28T00:00:00"/>
    <x v="3"/>
    <x v="0"/>
    <x v="0"/>
    <x v="0"/>
    <x v="5"/>
    <x v="4"/>
    <x v="0"/>
    <x v="1"/>
    <x v="0"/>
    <n v="4"/>
    <n v="1"/>
    <n v="5"/>
    <n v="2"/>
    <n v="278.16000000000003"/>
    <x v="3"/>
    <m/>
    <n v="557.6865165165168"/>
    <x v="0"/>
    <n v="1.9139139139139139"/>
    <n v="557.6865165165168"/>
  </r>
  <r>
    <x v="859"/>
    <d v="2018-08-08T00:00:00"/>
    <x v="9"/>
    <x v="0"/>
    <x v="0"/>
    <x v="2"/>
    <x v="5"/>
    <x v="4"/>
    <x v="0"/>
    <x v="1"/>
    <x v="0"/>
    <n v="4"/>
    <n v="2"/>
    <n v="1"/>
    <n v="4"/>
    <n v="218.93"/>
    <x v="7"/>
    <m/>
    <n v="557.6865165165168"/>
    <x v="0"/>
    <n v="1.9139139139139139"/>
    <n v="557.6865165165168"/>
  </r>
  <r>
    <x v="860"/>
    <d v="2020-09-15T00:00:00"/>
    <x v="5"/>
    <x v="0"/>
    <x v="2"/>
    <x v="1"/>
    <x v="2"/>
    <x v="4"/>
    <x v="0"/>
    <x v="1"/>
    <x v="0"/>
    <n v="5"/>
    <n v="1"/>
    <n v="5"/>
    <n v="5"/>
    <n v="179.21"/>
    <x v="50"/>
    <m/>
    <n v="557.6865165165168"/>
    <x v="0"/>
    <n v="1.9139139139139139"/>
    <n v="557.6865165165168"/>
  </r>
  <r>
    <x v="861"/>
    <d v="2021-06-16T00:00:00"/>
    <x v="7"/>
    <x v="0"/>
    <x v="1"/>
    <x v="2"/>
    <x v="5"/>
    <x v="3"/>
    <x v="0"/>
    <x v="0"/>
    <x v="0"/>
    <n v="2"/>
    <n v="2"/>
    <n v="3"/>
    <n v="5"/>
    <n v="534.28"/>
    <x v="25"/>
    <m/>
    <n v="557.6865165165168"/>
    <x v="0"/>
    <n v="1.9139139139139139"/>
    <n v="557.6865165165168"/>
  </r>
  <r>
    <x v="862"/>
    <d v="2023-03-20T00:00:00"/>
    <x v="1"/>
    <x v="0"/>
    <x v="2"/>
    <x v="1"/>
    <x v="5"/>
    <x v="6"/>
    <x v="0"/>
    <x v="0"/>
    <x v="0"/>
    <n v="1"/>
    <n v="1"/>
    <n v="1"/>
    <n v="3"/>
    <n v="301.39"/>
    <x v="41"/>
    <m/>
    <n v="557.6865165165168"/>
    <x v="0"/>
    <n v="1.9139139139139139"/>
    <n v="557.6865165165168"/>
  </r>
  <r>
    <x v="863"/>
    <d v="2018-09-07T00:00:00"/>
    <x v="8"/>
    <x v="0"/>
    <x v="1"/>
    <x v="0"/>
    <x v="5"/>
    <x v="6"/>
    <x v="0"/>
    <x v="1"/>
    <x v="0"/>
    <n v="1"/>
    <n v="4"/>
    <n v="3"/>
    <n v="3"/>
    <n v="231.65"/>
    <x v="51"/>
    <m/>
    <n v="557.6865165165168"/>
    <x v="0"/>
    <n v="1.9139139139139139"/>
    <n v="557.6865165165168"/>
  </r>
  <r>
    <x v="864"/>
    <d v="2018-11-08T00:00:00"/>
    <x v="3"/>
    <x v="0"/>
    <x v="2"/>
    <x v="2"/>
    <x v="5"/>
    <x v="4"/>
    <x v="0"/>
    <x v="1"/>
    <x v="0"/>
    <n v="1"/>
    <n v="2"/>
    <n v="5"/>
    <n v="2"/>
    <n v="994.81"/>
    <x v="23"/>
    <m/>
    <n v="557.6865165165168"/>
    <x v="0"/>
    <n v="1.9139139139139139"/>
    <n v="557.6865165165168"/>
  </r>
  <r>
    <x v="865"/>
    <d v="2019-01-26T00:00:00"/>
    <x v="4"/>
    <x v="0"/>
    <x v="1"/>
    <x v="1"/>
    <x v="5"/>
    <x v="14"/>
    <x v="0"/>
    <x v="1"/>
    <x v="0"/>
    <n v="4"/>
    <n v="5"/>
    <n v="1"/>
    <n v="4"/>
    <n v="729.91"/>
    <x v="30"/>
    <m/>
    <n v="557.6865165165168"/>
    <x v="0"/>
    <n v="1.9139139139139139"/>
    <n v="557.6865165165168"/>
  </r>
  <r>
    <x v="866"/>
    <d v="2021-08-30T00:00:00"/>
    <x v="0"/>
    <x v="0"/>
    <x v="0"/>
    <x v="2"/>
    <x v="2"/>
    <x v="4"/>
    <x v="0"/>
    <x v="1"/>
    <x v="3"/>
    <n v="5"/>
    <n v="2"/>
    <n v="1"/>
    <n v="2"/>
    <n v="538.02"/>
    <x v="36"/>
    <m/>
    <n v="557.6865165165168"/>
    <x v="0"/>
    <n v="1.9139139139139139"/>
    <n v="557.6865165165168"/>
  </r>
  <r>
    <x v="867"/>
    <d v="2019-11-10T00:00:00"/>
    <x v="7"/>
    <x v="0"/>
    <x v="1"/>
    <x v="0"/>
    <x v="5"/>
    <x v="3"/>
    <x v="0"/>
    <x v="0"/>
    <x v="1"/>
    <n v="5"/>
    <n v="2"/>
    <n v="5"/>
    <n v="4"/>
    <n v="196.94"/>
    <x v="16"/>
    <m/>
    <n v="557.6865165165168"/>
    <x v="0"/>
    <n v="1.9139139139139139"/>
    <n v="557.6865165165168"/>
  </r>
  <r>
    <x v="868"/>
    <d v="2023-07-28T00:00:00"/>
    <x v="1"/>
    <x v="0"/>
    <x v="1"/>
    <x v="1"/>
    <x v="5"/>
    <x v="3"/>
    <x v="0"/>
    <x v="0"/>
    <x v="3"/>
    <n v="5"/>
    <n v="2"/>
    <n v="2"/>
    <n v="2"/>
    <n v="285.83"/>
    <x v="11"/>
    <m/>
    <n v="557.6865165165168"/>
    <x v="0"/>
    <n v="1.9139139139139139"/>
    <n v="557.6865165165168"/>
  </r>
  <r>
    <x v="869"/>
    <d v="2019-04-03T00:00:00"/>
    <x v="8"/>
    <x v="0"/>
    <x v="0"/>
    <x v="0"/>
    <x v="5"/>
    <x v="0"/>
    <x v="0"/>
    <x v="1"/>
    <x v="1"/>
    <n v="2"/>
    <n v="2"/>
    <n v="4"/>
    <n v="4"/>
    <n v="818.6"/>
    <x v="51"/>
    <m/>
    <n v="557.6865165165168"/>
    <x v="0"/>
    <n v="1.9139139139139139"/>
    <n v="557.6865165165168"/>
  </r>
  <r>
    <x v="870"/>
    <d v="2019-07-24T00:00:00"/>
    <x v="3"/>
    <x v="0"/>
    <x v="0"/>
    <x v="0"/>
    <x v="5"/>
    <x v="4"/>
    <x v="0"/>
    <x v="1"/>
    <x v="1"/>
    <n v="5"/>
    <n v="1"/>
    <n v="2"/>
    <n v="1"/>
    <n v="610.97"/>
    <x v="49"/>
    <m/>
    <n v="557.6865165165168"/>
    <x v="0"/>
    <n v="1.9139139139139139"/>
    <n v="557.6865165165168"/>
  </r>
  <r>
    <x v="871"/>
    <d v="2022-04-29T00:00:00"/>
    <x v="9"/>
    <x v="0"/>
    <x v="0"/>
    <x v="2"/>
    <x v="2"/>
    <x v="3"/>
    <x v="0"/>
    <x v="1"/>
    <x v="1"/>
    <n v="1"/>
    <n v="4"/>
    <n v="2"/>
    <n v="1"/>
    <n v="762.83"/>
    <x v="61"/>
    <m/>
    <n v="557.6865165165168"/>
    <x v="0"/>
    <n v="1.9139139139139139"/>
    <n v="557.6865165165168"/>
  </r>
  <r>
    <x v="872"/>
    <d v="2020-10-06T00:00:00"/>
    <x v="5"/>
    <x v="0"/>
    <x v="2"/>
    <x v="2"/>
    <x v="2"/>
    <x v="7"/>
    <x v="0"/>
    <x v="0"/>
    <x v="1"/>
    <n v="1"/>
    <n v="4"/>
    <n v="3"/>
    <n v="5"/>
    <n v="438.44"/>
    <x v="13"/>
    <m/>
    <n v="557.6865165165168"/>
    <x v="0"/>
    <n v="1.9139139139139139"/>
    <n v="557.6865165165168"/>
  </r>
  <r>
    <x v="873"/>
    <d v="2020-04-04T00:00:00"/>
    <x v="9"/>
    <x v="0"/>
    <x v="2"/>
    <x v="0"/>
    <x v="5"/>
    <x v="2"/>
    <x v="0"/>
    <x v="0"/>
    <x v="1"/>
    <n v="2"/>
    <n v="2"/>
    <n v="2"/>
    <n v="4"/>
    <n v="271.89999999999998"/>
    <x v="2"/>
    <m/>
    <n v="557.6865165165168"/>
    <x v="0"/>
    <n v="1.9139139139139139"/>
    <n v="557.6865165165168"/>
  </r>
  <r>
    <x v="874"/>
    <d v="2021-03-26T00:00:00"/>
    <x v="0"/>
    <x v="0"/>
    <x v="0"/>
    <x v="0"/>
    <x v="1"/>
    <x v="1"/>
    <x v="0"/>
    <x v="0"/>
    <x v="1"/>
    <n v="2"/>
    <n v="4"/>
    <n v="3"/>
    <n v="2"/>
    <n v="629.20000000000005"/>
    <x v="42"/>
    <m/>
    <n v="557.6865165165168"/>
    <x v="0"/>
    <n v="1.9139139139139139"/>
    <n v="557.6865165165168"/>
  </r>
  <r>
    <x v="875"/>
    <d v="2022-05-19T00:00:00"/>
    <x v="7"/>
    <x v="0"/>
    <x v="2"/>
    <x v="1"/>
    <x v="5"/>
    <x v="3"/>
    <x v="0"/>
    <x v="0"/>
    <x v="1"/>
    <n v="1"/>
    <n v="2"/>
    <n v="1"/>
    <n v="1"/>
    <n v="850.28"/>
    <x v="13"/>
    <m/>
    <n v="557.6865165165168"/>
    <x v="0"/>
    <n v="1.9139139139139139"/>
    <n v="557.6865165165168"/>
  </r>
  <r>
    <x v="876"/>
    <d v="2021-08-28T00:00:00"/>
    <x v="1"/>
    <x v="0"/>
    <x v="0"/>
    <x v="1"/>
    <x v="5"/>
    <x v="4"/>
    <x v="0"/>
    <x v="0"/>
    <x v="1"/>
    <n v="1"/>
    <n v="1"/>
    <n v="2"/>
    <n v="1"/>
    <n v="321.25"/>
    <x v="32"/>
    <m/>
    <n v="557.6865165165168"/>
    <x v="0"/>
    <n v="1.9139139139139139"/>
    <n v="557.6865165165168"/>
  </r>
  <r>
    <x v="877"/>
    <d v="2022-11-24T00:00:00"/>
    <x v="8"/>
    <x v="0"/>
    <x v="0"/>
    <x v="1"/>
    <x v="5"/>
    <x v="1"/>
    <x v="0"/>
    <x v="1"/>
    <x v="1"/>
    <n v="3"/>
    <n v="1"/>
    <n v="4"/>
    <n v="1"/>
    <n v="475.32"/>
    <x v="44"/>
    <m/>
    <n v="557.6865165165168"/>
    <x v="0"/>
    <n v="1.9139139139139139"/>
    <n v="557.6865165165168"/>
  </r>
  <r>
    <x v="878"/>
    <d v="2022-01-12T00:00:00"/>
    <x v="3"/>
    <x v="0"/>
    <x v="0"/>
    <x v="1"/>
    <x v="5"/>
    <x v="4"/>
    <x v="0"/>
    <x v="1"/>
    <x v="1"/>
    <n v="1"/>
    <n v="2"/>
    <n v="5"/>
    <n v="4"/>
    <n v="847.2"/>
    <x v="16"/>
    <m/>
    <n v="557.6865165165168"/>
    <x v="0"/>
    <n v="1.9139139139139139"/>
    <n v="557.6865165165168"/>
  </r>
  <r>
    <x v="879"/>
    <d v="2019-07-07T00:00:00"/>
    <x v="9"/>
    <x v="0"/>
    <x v="2"/>
    <x v="2"/>
    <x v="2"/>
    <x v="1"/>
    <x v="0"/>
    <x v="0"/>
    <x v="1"/>
    <n v="5"/>
    <n v="5"/>
    <n v="4"/>
    <n v="1"/>
    <n v="983.35"/>
    <x v="24"/>
    <m/>
    <n v="557.6865165165168"/>
    <x v="0"/>
    <n v="1.9139139139139139"/>
    <n v="557.6865165165168"/>
  </r>
  <r>
    <x v="880"/>
    <d v="2021-07-14T00:00:00"/>
    <x v="9"/>
    <x v="0"/>
    <x v="0"/>
    <x v="2"/>
    <x v="5"/>
    <x v="19"/>
    <x v="0"/>
    <x v="0"/>
    <x v="1"/>
    <n v="1"/>
    <n v="3"/>
    <n v="2"/>
    <n v="3"/>
    <n v="880.9"/>
    <x v="23"/>
    <m/>
    <n v="557.6865165165168"/>
    <x v="0"/>
    <n v="1.9139139139139139"/>
    <n v="557.6865165165168"/>
  </r>
  <r>
    <x v="881"/>
    <d v="2019-12-03T00:00:00"/>
    <x v="0"/>
    <x v="0"/>
    <x v="1"/>
    <x v="2"/>
    <x v="1"/>
    <x v="4"/>
    <x v="0"/>
    <x v="0"/>
    <x v="1"/>
    <n v="4"/>
    <n v="3"/>
    <n v="5"/>
    <n v="3"/>
    <n v="795.72"/>
    <x v="34"/>
    <m/>
    <n v="557.6865165165168"/>
    <x v="0"/>
    <n v="1.9139139139139139"/>
    <n v="557.6865165165168"/>
  </r>
  <r>
    <x v="882"/>
    <d v="2021-03-03T00:00:00"/>
    <x v="7"/>
    <x v="0"/>
    <x v="2"/>
    <x v="1"/>
    <x v="5"/>
    <x v="3"/>
    <x v="0"/>
    <x v="0"/>
    <x v="1"/>
    <n v="5"/>
    <n v="5"/>
    <n v="4"/>
    <n v="2"/>
    <n v="909.56"/>
    <x v="19"/>
    <m/>
    <n v="557.6865165165168"/>
    <x v="0"/>
    <n v="1.9139139139139139"/>
    <n v="557.6865165165168"/>
  </r>
  <r>
    <x v="883"/>
    <d v="2022-06-13T00:00:00"/>
    <x v="1"/>
    <x v="0"/>
    <x v="1"/>
    <x v="0"/>
    <x v="5"/>
    <x v="10"/>
    <x v="0"/>
    <x v="0"/>
    <x v="3"/>
    <n v="1"/>
    <n v="4"/>
    <n v="5"/>
    <n v="5"/>
    <n v="145.69999999999999"/>
    <x v="42"/>
    <m/>
    <n v="557.6865165165168"/>
    <x v="0"/>
    <n v="1.9139139139139139"/>
    <n v="557.6865165165168"/>
  </r>
  <r>
    <x v="884"/>
    <d v="2023-01-23T00:00:00"/>
    <x v="8"/>
    <x v="0"/>
    <x v="2"/>
    <x v="1"/>
    <x v="5"/>
    <x v="2"/>
    <x v="0"/>
    <x v="1"/>
    <x v="1"/>
    <n v="5"/>
    <n v="2"/>
    <n v="5"/>
    <n v="1"/>
    <n v="397.48"/>
    <x v="52"/>
    <m/>
    <n v="557.6865165165168"/>
    <x v="0"/>
    <n v="1.9139139139139139"/>
    <n v="557.6865165165168"/>
  </r>
  <r>
    <x v="885"/>
    <d v="2020-09-06T00:00:00"/>
    <x v="3"/>
    <x v="0"/>
    <x v="2"/>
    <x v="1"/>
    <x v="5"/>
    <x v="4"/>
    <x v="0"/>
    <x v="1"/>
    <x v="1"/>
    <n v="1"/>
    <n v="1"/>
    <n v="2"/>
    <n v="3"/>
    <n v="326.7"/>
    <x v="14"/>
    <m/>
    <n v="557.6865165165168"/>
    <x v="0"/>
    <n v="1.9139139139139139"/>
    <n v="557.6865165165168"/>
  </r>
  <r>
    <x v="886"/>
    <d v="2022-10-17T00:00:00"/>
    <x v="9"/>
    <x v="0"/>
    <x v="1"/>
    <x v="1"/>
    <x v="2"/>
    <x v="1"/>
    <x v="0"/>
    <x v="0"/>
    <x v="3"/>
    <n v="2"/>
    <n v="2"/>
    <n v="1"/>
    <n v="4"/>
    <n v="718.16"/>
    <x v="23"/>
    <m/>
    <n v="557.6865165165168"/>
    <x v="0"/>
    <n v="1.9139139139139139"/>
    <n v="557.6865165165168"/>
  </r>
  <r>
    <x v="887"/>
    <d v="2019-06-07T00:00:00"/>
    <x v="3"/>
    <x v="0"/>
    <x v="1"/>
    <x v="2"/>
    <x v="5"/>
    <x v="4"/>
    <x v="0"/>
    <x v="0"/>
    <x v="1"/>
    <n v="2"/>
    <n v="1"/>
    <n v="1"/>
    <n v="5"/>
    <n v="162.46"/>
    <x v="62"/>
    <m/>
    <n v="557.6865165165168"/>
    <x v="0"/>
    <n v="1.9139139139139139"/>
    <n v="557.6865165165168"/>
  </r>
  <r>
    <x v="888"/>
    <d v="2022-01-28T00:00:00"/>
    <x v="4"/>
    <x v="0"/>
    <x v="0"/>
    <x v="0"/>
    <x v="5"/>
    <x v="3"/>
    <x v="0"/>
    <x v="0"/>
    <x v="1"/>
    <n v="4"/>
    <n v="1"/>
    <n v="5"/>
    <n v="3"/>
    <n v="924.64"/>
    <x v="39"/>
    <m/>
    <n v="557.6865165165168"/>
    <x v="0"/>
    <n v="1.9139139139139139"/>
    <n v="557.6865165165168"/>
  </r>
  <r>
    <x v="889"/>
    <d v="2020-07-01T00:00:00"/>
    <x v="0"/>
    <x v="0"/>
    <x v="2"/>
    <x v="2"/>
    <x v="5"/>
    <x v="4"/>
    <x v="0"/>
    <x v="0"/>
    <x v="3"/>
    <n v="2"/>
    <n v="3"/>
    <n v="4"/>
    <n v="4"/>
    <n v="628.48"/>
    <x v="32"/>
    <m/>
    <n v="557.6865165165168"/>
    <x v="0"/>
    <n v="1.9139139139139139"/>
    <n v="557.6865165165168"/>
  </r>
  <r>
    <x v="890"/>
    <d v="2020-05-30T00:00:00"/>
    <x v="7"/>
    <x v="0"/>
    <x v="1"/>
    <x v="0"/>
    <x v="5"/>
    <x v="4"/>
    <x v="0"/>
    <x v="0"/>
    <x v="3"/>
    <n v="3"/>
    <n v="1"/>
    <n v="3"/>
    <n v="1"/>
    <n v="678.07"/>
    <x v="57"/>
    <m/>
    <n v="557.6865165165168"/>
    <x v="0"/>
    <n v="1.9139139139139139"/>
    <n v="557.6865165165168"/>
  </r>
  <r>
    <x v="891"/>
    <d v="2019-10-05T00:00:00"/>
    <x v="1"/>
    <x v="0"/>
    <x v="0"/>
    <x v="0"/>
    <x v="5"/>
    <x v="3"/>
    <x v="0"/>
    <x v="0"/>
    <x v="1"/>
    <n v="2"/>
    <n v="4"/>
    <n v="5"/>
    <n v="1"/>
    <n v="106.91"/>
    <x v="28"/>
    <m/>
    <n v="557.6865165165168"/>
    <x v="0"/>
    <n v="1.9139139139139139"/>
    <n v="557.6865165165168"/>
  </r>
  <r>
    <x v="892"/>
    <d v="2021-11-06T00:00:00"/>
    <x v="8"/>
    <x v="0"/>
    <x v="0"/>
    <x v="2"/>
    <x v="5"/>
    <x v="3"/>
    <x v="0"/>
    <x v="1"/>
    <x v="3"/>
    <n v="5"/>
    <n v="1"/>
    <n v="2"/>
    <n v="1"/>
    <n v="195.95"/>
    <x v="10"/>
    <m/>
    <n v="557.6865165165168"/>
    <x v="0"/>
    <n v="1.9139139139139139"/>
    <n v="557.6865165165168"/>
  </r>
  <r>
    <x v="893"/>
    <d v="2019-05-09T00:00:00"/>
    <x v="3"/>
    <x v="0"/>
    <x v="2"/>
    <x v="2"/>
    <x v="5"/>
    <x v="4"/>
    <x v="0"/>
    <x v="0"/>
    <x v="1"/>
    <n v="5"/>
    <n v="2"/>
    <n v="4"/>
    <n v="1"/>
    <n v="918.34"/>
    <x v="53"/>
    <m/>
    <n v="557.6865165165168"/>
    <x v="0"/>
    <n v="1.9139139139139139"/>
    <n v="557.6865165165168"/>
  </r>
  <r>
    <x v="894"/>
    <d v="2019-10-28T00:00:00"/>
    <x v="6"/>
    <x v="0"/>
    <x v="2"/>
    <x v="1"/>
    <x v="0"/>
    <x v="22"/>
    <x v="0"/>
    <x v="1"/>
    <x v="1"/>
    <n v="4"/>
    <n v="4"/>
    <n v="3"/>
    <n v="3"/>
    <n v="425.34"/>
    <x v="36"/>
    <m/>
    <n v="557.6865165165168"/>
    <x v="0"/>
    <n v="1.9139139139139139"/>
    <n v="557.6865165165168"/>
  </r>
  <r>
    <x v="895"/>
    <d v="2019-01-11T00:00:00"/>
    <x v="7"/>
    <x v="0"/>
    <x v="0"/>
    <x v="0"/>
    <x v="0"/>
    <x v="3"/>
    <x v="0"/>
    <x v="1"/>
    <x v="1"/>
    <n v="2"/>
    <n v="3"/>
    <n v="4"/>
    <n v="3"/>
    <n v="512.53"/>
    <x v="32"/>
    <m/>
    <n v="557.6865165165168"/>
    <x v="0"/>
    <n v="1.9139139139139139"/>
    <n v="557.6865165165168"/>
  </r>
  <r>
    <x v="896"/>
    <d v="2020-04-02T00:00:00"/>
    <x v="8"/>
    <x v="0"/>
    <x v="0"/>
    <x v="1"/>
    <x v="0"/>
    <x v="15"/>
    <x v="0"/>
    <x v="0"/>
    <x v="2"/>
    <n v="4"/>
    <n v="1"/>
    <n v="1"/>
    <n v="3"/>
    <n v="146.47999999999999"/>
    <x v="45"/>
    <m/>
    <n v="557.6865165165168"/>
    <x v="0"/>
    <n v="1.9139139139139139"/>
    <n v="557.6865165165168"/>
  </r>
  <r>
    <x v="897"/>
    <d v="2019-06-07T00:00:00"/>
    <x v="2"/>
    <x v="0"/>
    <x v="2"/>
    <x v="1"/>
    <x v="0"/>
    <x v="4"/>
    <x v="0"/>
    <x v="0"/>
    <x v="1"/>
    <n v="4"/>
    <n v="4"/>
    <n v="3"/>
    <n v="3"/>
    <n v="578.62"/>
    <x v="32"/>
    <m/>
    <n v="557.6865165165168"/>
    <x v="0"/>
    <n v="1.9139139139139139"/>
    <n v="557.6865165165168"/>
  </r>
  <r>
    <x v="898"/>
    <d v="2021-11-22T00:00:00"/>
    <x v="7"/>
    <x v="0"/>
    <x v="2"/>
    <x v="0"/>
    <x v="0"/>
    <x v="3"/>
    <x v="0"/>
    <x v="0"/>
    <x v="1"/>
    <n v="4"/>
    <n v="4"/>
    <n v="4"/>
    <n v="3"/>
    <n v="255.61"/>
    <x v="50"/>
    <m/>
    <n v="557.6865165165168"/>
    <x v="0"/>
    <n v="1.9139139139139139"/>
    <n v="557.6865165165168"/>
  </r>
  <r>
    <x v="899"/>
    <d v="2019-01-19T00:00:00"/>
    <x v="6"/>
    <x v="0"/>
    <x v="1"/>
    <x v="1"/>
    <x v="0"/>
    <x v="4"/>
    <x v="0"/>
    <x v="1"/>
    <x v="1"/>
    <n v="1"/>
    <n v="2"/>
    <n v="2"/>
    <n v="5"/>
    <n v="370.26"/>
    <x v="25"/>
    <m/>
    <n v="557.6865165165168"/>
    <x v="0"/>
    <n v="1.9139139139139139"/>
    <n v="557.6865165165168"/>
  </r>
  <r>
    <x v="900"/>
    <d v="2021-12-17T00:00:00"/>
    <x v="7"/>
    <x v="1"/>
    <x v="1"/>
    <x v="0"/>
    <x v="0"/>
    <x v="3"/>
    <x v="0"/>
    <x v="1"/>
    <x v="1"/>
    <n v="4"/>
    <n v="1"/>
    <n v="2"/>
    <n v="2"/>
    <n v="302.97000000000003"/>
    <x v="34"/>
    <m/>
    <n v="557.6865165165168"/>
    <x v="0"/>
    <n v="1.9139139139139139"/>
    <n v="557.6865165165168"/>
  </r>
  <r>
    <x v="901"/>
    <d v="2019-05-04T00:00:00"/>
    <x v="7"/>
    <x v="0"/>
    <x v="2"/>
    <x v="1"/>
    <x v="0"/>
    <x v="5"/>
    <x v="0"/>
    <x v="0"/>
    <x v="1"/>
    <n v="2"/>
    <n v="1"/>
    <n v="3"/>
    <n v="3"/>
    <n v="632.28"/>
    <x v="6"/>
    <m/>
    <n v="557.6865165165168"/>
    <x v="0"/>
    <n v="1.9139139139139139"/>
    <n v="557.6865165165168"/>
  </r>
  <r>
    <x v="902"/>
    <d v="2018-12-25T00:00:00"/>
    <x v="8"/>
    <x v="0"/>
    <x v="0"/>
    <x v="1"/>
    <x v="0"/>
    <x v="3"/>
    <x v="0"/>
    <x v="1"/>
    <x v="1"/>
    <n v="3"/>
    <n v="2"/>
    <n v="3"/>
    <n v="2"/>
    <n v="669.41"/>
    <x v="49"/>
    <m/>
    <n v="557.6865165165168"/>
    <x v="0"/>
    <n v="1.9139139139139139"/>
    <n v="557.6865165165168"/>
  </r>
  <r>
    <x v="903"/>
    <d v="2021-01-03T00:00:00"/>
    <x v="9"/>
    <x v="0"/>
    <x v="2"/>
    <x v="0"/>
    <x v="0"/>
    <x v="8"/>
    <x v="0"/>
    <x v="0"/>
    <x v="2"/>
    <n v="1"/>
    <n v="1"/>
    <n v="1"/>
    <n v="3"/>
    <n v="191.99"/>
    <x v="53"/>
    <m/>
    <n v="557.6865165165168"/>
    <x v="0"/>
    <n v="1.9139139139139139"/>
    <n v="557.6865165165168"/>
  </r>
  <r>
    <x v="904"/>
    <d v="2023-06-15T00:00:00"/>
    <x v="4"/>
    <x v="0"/>
    <x v="2"/>
    <x v="0"/>
    <x v="0"/>
    <x v="3"/>
    <x v="0"/>
    <x v="0"/>
    <x v="2"/>
    <n v="1"/>
    <n v="4"/>
    <n v="4"/>
    <n v="2"/>
    <n v="695.11"/>
    <x v="51"/>
    <m/>
    <n v="557.6865165165168"/>
    <x v="0"/>
    <n v="1.9139139139139139"/>
    <n v="557.6865165165168"/>
  </r>
  <r>
    <x v="905"/>
    <d v="2018-08-29T00:00:00"/>
    <x v="6"/>
    <x v="0"/>
    <x v="1"/>
    <x v="2"/>
    <x v="0"/>
    <x v="4"/>
    <x v="0"/>
    <x v="0"/>
    <x v="1"/>
    <n v="2"/>
    <n v="3"/>
    <n v="3"/>
    <n v="2"/>
    <n v="634.91999999999996"/>
    <x v="6"/>
    <m/>
    <n v="557.6865165165168"/>
    <x v="0"/>
    <n v="1.9139139139139139"/>
    <n v="557.6865165165168"/>
  </r>
  <r>
    <x v="906"/>
    <d v="2019-01-04T00:00:00"/>
    <x v="2"/>
    <x v="0"/>
    <x v="0"/>
    <x v="2"/>
    <x v="0"/>
    <x v="8"/>
    <x v="0"/>
    <x v="1"/>
    <x v="1"/>
    <n v="2"/>
    <n v="5"/>
    <n v="3"/>
    <n v="5"/>
    <n v="873.98"/>
    <x v="22"/>
    <m/>
    <n v="557.6865165165168"/>
    <x v="0"/>
    <n v="1.9139139139139139"/>
    <n v="557.6865165165168"/>
  </r>
  <r>
    <x v="907"/>
    <d v="2021-09-10T00:00:00"/>
    <x v="8"/>
    <x v="0"/>
    <x v="1"/>
    <x v="2"/>
    <x v="0"/>
    <x v="2"/>
    <x v="0"/>
    <x v="0"/>
    <x v="1"/>
    <n v="2"/>
    <n v="4"/>
    <n v="4"/>
    <n v="3"/>
    <n v="602.33000000000004"/>
    <x v="29"/>
    <m/>
    <n v="557.6865165165168"/>
    <x v="0"/>
    <n v="1.9139139139139139"/>
    <n v="557.6865165165168"/>
  </r>
  <r>
    <x v="908"/>
    <d v="2021-07-08T00:00:00"/>
    <x v="7"/>
    <x v="0"/>
    <x v="1"/>
    <x v="2"/>
    <x v="0"/>
    <x v="4"/>
    <x v="0"/>
    <x v="0"/>
    <x v="1"/>
    <n v="1"/>
    <n v="3"/>
    <n v="2"/>
    <n v="3"/>
    <n v="807.02"/>
    <x v="24"/>
    <m/>
    <n v="557.6865165165168"/>
    <x v="0"/>
    <n v="1.9139139139139139"/>
    <n v="557.6865165165168"/>
  </r>
  <r>
    <x v="909"/>
    <d v="2018-11-01T00:00:00"/>
    <x v="4"/>
    <x v="1"/>
    <x v="0"/>
    <x v="2"/>
    <x v="0"/>
    <x v="0"/>
    <x v="0"/>
    <x v="1"/>
    <x v="1"/>
    <n v="1"/>
    <n v="2"/>
    <n v="2"/>
    <n v="4"/>
    <n v="411.94"/>
    <x v="21"/>
    <m/>
    <n v="557.6865165165168"/>
    <x v="0"/>
    <n v="1.9139139139139139"/>
    <n v="557.6865165165168"/>
  </r>
  <r>
    <x v="910"/>
    <d v="2018-12-08T00:00:00"/>
    <x v="2"/>
    <x v="0"/>
    <x v="2"/>
    <x v="1"/>
    <x v="0"/>
    <x v="4"/>
    <x v="0"/>
    <x v="0"/>
    <x v="1"/>
    <n v="3"/>
    <n v="3"/>
    <n v="3"/>
    <n v="4"/>
    <n v="537.73"/>
    <x v="11"/>
    <m/>
    <n v="557.6865165165168"/>
    <x v="0"/>
    <n v="1.9139139139139139"/>
    <n v="557.6865165165168"/>
  </r>
  <r>
    <x v="911"/>
    <d v="2022-10-25T00:00:00"/>
    <x v="9"/>
    <x v="0"/>
    <x v="2"/>
    <x v="1"/>
    <x v="0"/>
    <x v="3"/>
    <x v="0"/>
    <x v="0"/>
    <x v="1"/>
    <n v="4"/>
    <n v="1"/>
    <n v="5"/>
    <n v="5"/>
    <n v="930.1"/>
    <x v="21"/>
    <m/>
    <n v="557.6865165165168"/>
    <x v="0"/>
    <n v="1.9139139139139139"/>
    <n v="557.6865165165168"/>
  </r>
  <r>
    <x v="912"/>
    <d v="2023-04-04T00:00:00"/>
    <x v="3"/>
    <x v="0"/>
    <x v="1"/>
    <x v="2"/>
    <x v="0"/>
    <x v="2"/>
    <x v="0"/>
    <x v="1"/>
    <x v="1"/>
    <n v="3"/>
    <n v="3"/>
    <n v="1"/>
    <n v="3"/>
    <n v="249.66"/>
    <x v="21"/>
    <m/>
    <n v="557.6865165165168"/>
    <x v="0"/>
    <n v="1.9139139139139139"/>
    <n v="557.6865165165168"/>
  </r>
  <r>
    <x v="913"/>
    <d v="2021-03-17T00:00:00"/>
    <x v="2"/>
    <x v="0"/>
    <x v="0"/>
    <x v="2"/>
    <x v="0"/>
    <x v="4"/>
    <x v="0"/>
    <x v="0"/>
    <x v="1"/>
    <n v="3"/>
    <n v="3"/>
    <n v="3"/>
    <n v="5"/>
    <n v="691.82"/>
    <x v="11"/>
    <m/>
    <n v="557.6865165165168"/>
    <x v="0"/>
    <n v="1.9139139139139139"/>
    <n v="557.6865165165168"/>
  </r>
  <r>
    <x v="914"/>
    <d v="2019-03-11T00:00:00"/>
    <x v="8"/>
    <x v="1"/>
    <x v="1"/>
    <x v="1"/>
    <x v="0"/>
    <x v="3"/>
    <x v="0"/>
    <x v="0"/>
    <x v="1"/>
    <n v="2"/>
    <n v="2"/>
    <n v="1"/>
    <n v="4"/>
    <n v="938.59"/>
    <x v="15"/>
    <m/>
    <n v="557.6865165165168"/>
    <x v="0"/>
    <n v="1.9139139139139139"/>
    <n v="557.6865165165168"/>
  </r>
  <r>
    <x v="915"/>
    <d v="2022-02-25T00:00:00"/>
    <x v="7"/>
    <x v="0"/>
    <x v="0"/>
    <x v="0"/>
    <x v="0"/>
    <x v="13"/>
    <x v="0"/>
    <x v="0"/>
    <x v="1"/>
    <n v="2"/>
    <n v="2"/>
    <n v="4"/>
    <n v="1"/>
    <n v="746.8"/>
    <x v="24"/>
    <m/>
    <n v="557.6865165165168"/>
    <x v="0"/>
    <n v="1.9139139139139139"/>
    <n v="557.6865165165168"/>
  </r>
  <r>
    <x v="916"/>
    <d v="2019-07-02T00:00:00"/>
    <x v="1"/>
    <x v="0"/>
    <x v="2"/>
    <x v="0"/>
    <x v="0"/>
    <x v="1"/>
    <x v="0"/>
    <x v="0"/>
    <x v="1"/>
    <n v="5"/>
    <n v="4"/>
    <n v="5"/>
    <n v="1"/>
    <n v="690.75"/>
    <x v="52"/>
    <m/>
    <n v="557.6865165165168"/>
    <x v="0"/>
    <n v="1.9139139139139139"/>
    <n v="557.6865165165168"/>
  </r>
  <r>
    <x v="917"/>
    <d v="2019-06-20T00:00:00"/>
    <x v="8"/>
    <x v="0"/>
    <x v="2"/>
    <x v="2"/>
    <x v="0"/>
    <x v="4"/>
    <x v="0"/>
    <x v="0"/>
    <x v="1"/>
    <n v="4"/>
    <n v="3"/>
    <n v="5"/>
    <n v="4"/>
    <n v="544.19000000000005"/>
    <x v="49"/>
    <m/>
    <n v="557.6865165165168"/>
    <x v="0"/>
    <n v="1.9139139139139139"/>
    <n v="557.6865165165168"/>
  </r>
  <r>
    <x v="918"/>
    <d v="2019-09-27T00:00:00"/>
    <x v="3"/>
    <x v="0"/>
    <x v="2"/>
    <x v="1"/>
    <x v="0"/>
    <x v="0"/>
    <x v="0"/>
    <x v="1"/>
    <x v="2"/>
    <n v="4"/>
    <n v="3"/>
    <n v="2"/>
    <n v="5"/>
    <n v="918.34"/>
    <x v="25"/>
    <m/>
    <n v="557.6865165165168"/>
    <x v="0"/>
    <n v="1.9139139139139139"/>
    <n v="557.6865165165168"/>
  </r>
  <r>
    <x v="919"/>
    <d v="2022-11-15T00:00:00"/>
    <x v="4"/>
    <x v="0"/>
    <x v="0"/>
    <x v="0"/>
    <x v="0"/>
    <x v="1"/>
    <x v="0"/>
    <x v="1"/>
    <x v="1"/>
    <n v="1"/>
    <n v="4"/>
    <n v="4"/>
    <n v="3"/>
    <n v="997.2"/>
    <x v="56"/>
    <m/>
    <n v="557.6865165165168"/>
    <x v="0"/>
    <n v="1.9139139139139139"/>
    <n v="557.6865165165168"/>
  </r>
  <r>
    <x v="920"/>
    <d v="2020-08-22T00:00:00"/>
    <x v="0"/>
    <x v="0"/>
    <x v="2"/>
    <x v="1"/>
    <x v="0"/>
    <x v="4"/>
    <x v="0"/>
    <x v="1"/>
    <x v="1"/>
    <n v="2"/>
    <n v="2"/>
    <n v="1"/>
    <n v="3"/>
    <n v="633.96"/>
    <x v="28"/>
    <m/>
    <n v="557.6865165165168"/>
    <x v="0"/>
    <n v="1.9139139139139139"/>
    <n v="557.6865165165168"/>
  </r>
  <r>
    <x v="921"/>
    <d v="2020-04-09T00:00:00"/>
    <x v="1"/>
    <x v="0"/>
    <x v="2"/>
    <x v="2"/>
    <x v="0"/>
    <x v="4"/>
    <x v="0"/>
    <x v="1"/>
    <x v="1"/>
    <n v="5"/>
    <n v="4"/>
    <n v="3"/>
    <n v="2"/>
    <n v="638.69000000000005"/>
    <x v="14"/>
    <m/>
    <n v="557.6865165165168"/>
    <x v="0"/>
    <n v="1.9139139139139139"/>
    <n v="557.6865165165168"/>
  </r>
  <r>
    <x v="922"/>
    <d v="2021-03-30T00:00:00"/>
    <x v="8"/>
    <x v="0"/>
    <x v="1"/>
    <x v="0"/>
    <x v="0"/>
    <x v="1"/>
    <x v="0"/>
    <x v="0"/>
    <x v="1"/>
    <n v="3"/>
    <n v="5"/>
    <n v="2"/>
    <n v="1"/>
    <n v="643.82000000000005"/>
    <x v="61"/>
    <m/>
    <n v="557.6865165165168"/>
    <x v="0"/>
    <n v="1.9139139139139139"/>
    <n v="557.6865165165168"/>
  </r>
  <r>
    <x v="923"/>
    <d v="2018-09-26T00:00:00"/>
    <x v="6"/>
    <x v="0"/>
    <x v="2"/>
    <x v="0"/>
    <x v="0"/>
    <x v="13"/>
    <x v="0"/>
    <x v="0"/>
    <x v="2"/>
    <n v="2"/>
    <n v="1"/>
    <n v="3"/>
    <n v="1"/>
    <n v="840.76"/>
    <x v="43"/>
    <m/>
    <n v="557.6865165165168"/>
    <x v="0"/>
    <n v="1.9139139139139139"/>
    <n v="557.6865165165168"/>
  </r>
  <r>
    <x v="924"/>
    <d v="2023-05-22T00:00:00"/>
    <x v="2"/>
    <x v="0"/>
    <x v="0"/>
    <x v="0"/>
    <x v="0"/>
    <x v="4"/>
    <x v="0"/>
    <x v="0"/>
    <x v="1"/>
    <n v="4"/>
    <n v="2"/>
    <n v="1"/>
    <n v="1"/>
    <n v="108.04"/>
    <x v="52"/>
    <m/>
    <n v="557.6865165165168"/>
    <x v="0"/>
    <n v="1.9139139139139139"/>
    <n v="557.6865165165168"/>
  </r>
  <r>
    <x v="925"/>
    <d v="2021-06-04T00:00:00"/>
    <x v="9"/>
    <x v="0"/>
    <x v="0"/>
    <x v="2"/>
    <x v="0"/>
    <x v="9"/>
    <x v="0"/>
    <x v="0"/>
    <x v="1"/>
    <n v="1"/>
    <n v="2"/>
    <n v="4"/>
    <n v="5"/>
    <n v="889.57"/>
    <x v="4"/>
    <m/>
    <n v="557.6865165165168"/>
    <x v="0"/>
    <n v="1.9139139139139139"/>
    <n v="557.6865165165168"/>
  </r>
  <r>
    <x v="926"/>
    <d v="2019-10-22T00:00:00"/>
    <x v="7"/>
    <x v="0"/>
    <x v="0"/>
    <x v="0"/>
    <x v="0"/>
    <x v="3"/>
    <x v="0"/>
    <x v="0"/>
    <x v="1"/>
    <n v="3"/>
    <n v="5"/>
    <n v="5"/>
    <n v="5"/>
    <n v="835.97"/>
    <x v="4"/>
    <m/>
    <n v="557.6865165165168"/>
    <x v="0"/>
    <n v="1.9139139139139139"/>
    <n v="557.6865165165168"/>
  </r>
  <r>
    <x v="927"/>
    <d v="2022-06-25T00:00:00"/>
    <x v="5"/>
    <x v="0"/>
    <x v="1"/>
    <x v="1"/>
    <x v="0"/>
    <x v="1"/>
    <x v="0"/>
    <x v="0"/>
    <x v="2"/>
    <n v="2"/>
    <n v="5"/>
    <n v="5"/>
    <n v="3"/>
    <n v="255.55"/>
    <x v="13"/>
    <m/>
    <n v="557.6865165165168"/>
    <x v="0"/>
    <n v="1.9139139139139139"/>
    <n v="557.6865165165168"/>
  </r>
  <r>
    <x v="928"/>
    <d v="2019-08-04T00:00:00"/>
    <x v="0"/>
    <x v="0"/>
    <x v="2"/>
    <x v="2"/>
    <x v="0"/>
    <x v="4"/>
    <x v="0"/>
    <x v="0"/>
    <x v="2"/>
    <n v="2"/>
    <n v="3"/>
    <n v="1"/>
    <n v="1"/>
    <n v="850.15"/>
    <x v="24"/>
    <m/>
    <n v="557.6865165165168"/>
    <x v="0"/>
    <n v="1.9139139139139139"/>
    <n v="557.6865165165168"/>
  </r>
  <r>
    <x v="929"/>
    <d v="2022-03-08T00:00:00"/>
    <x v="1"/>
    <x v="1"/>
    <x v="1"/>
    <x v="1"/>
    <x v="0"/>
    <x v="3"/>
    <x v="0"/>
    <x v="0"/>
    <x v="1"/>
    <n v="4"/>
    <n v="5"/>
    <n v="5"/>
    <n v="3"/>
    <n v="938.04"/>
    <x v="23"/>
    <m/>
    <n v="557.6865165165168"/>
    <x v="0"/>
    <n v="1.9139139139139139"/>
    <n v="557.6865165165168"/>
  </r>
  <r>
    <x v="930"/>
    <d v="2019-02-22T00:00:00"/>
    <x v="0"/>
    <x v="0"/>
    <x v="1"/>
    <x v="1"/>
    <x v="0"/>
    <x v="6"/>
    <x v="0"/>
    <x v="1"/>
    <x v="2"/>
    <n v="1"/>
    <n v="2"/>
    <n v="3"/>
    <n v="1"/>
    <n v="684.24"/>
    <x v="59"/>
    <m/>
    <n v="557.6865165165168"/>
    <x v="0"/>
    <n v="1.9139139139139139"/>
    <n v="557.6865165165168"/>
  </r>
  <r>
    <x v="931"/>
    <d v="2022-12-08T00:00:00"/>
    <x v="7"/>
    <x v="0"/>
    <x v="1"/>
    <x v="0"/>
    <x v="0"/>
    <x v="7"/>
    <x v="0"/>
    <x v="1"/>
    <x v="1"/>
    <n v="3"/>
    <n v="5"/>
    <n v="2"/>
    <n v="5"/>
    <n v="956.11"/>
    <x v="22"/>
    <m/>
    <n v="557.6865165165168"/>
    <x v="0"/>
    <n v="1.9139139139139139"/>
    <n v="557.6865165165168"/>
  </r>
  <r>
    <x v="932"/>
    <d v="2019-11-22T00:00:00"/>
    <x v="1"/>
    <x v="1"/>
    <x v="0"/>
    <x v="2"/>
    <x v="0"/>
    <x v="4"/>
    <x v="0"/>
    <x v="0"/>
    <x v="1"/>
    <n v="1"/>
    <n v="4"/>
    <n v="3"/>
    <n v="4"/>
    <n v="441.43"/>
    <x v="20"/>
    <m/>
    <n v="557.6865165165168"/>
    <x v="0"/>
    <n v="1.9139139139139139"/>
    <n v="557.6865165165168"/>
  </r>
  <r>
    <x v="933"/>
    <d v="2023-02-13T00:00:00"/>
    <x v="8"/>
    <x v="1"/>
    <x v="2"/>
    <x v="1"/>
    <x v="0"/>
    <x v="17"/>
    <x v="0"/>
    <x v="0"/>
    <x v="2"/>
    <n v="2"/>
    <n v="2"/>
    <n v="2"/>
    <n v="4"/>
    <n v="193.99"/>
    <x v="32"/>
    <m/>
    <n v="557.6865165165168"/>
    <x v="0"/>
    <n v="1.9139139139139139"/>
    <n v="557.6865165165168"/>
  </r>
  <r>
    <x v="934"/>
    <d v="2019-03-15T00:00:00"/>
    <x v="3"/>
    <x v="0"/>
    <x v="1"/>
    <x v="2"/>
    <x v="0"/>
    <x v="4"/>
    <x v="0"/>
    <x v="0"/>
    <x v="1"/>
    <n v="2"/>
    <n v="1"/>
    <n v="1"/>
    <n v="3"/>
    <n v="790.72"/>
    <x v="12"/>
    <m/>
    <n v="557.6865165165168"/>
    <x v="0"/>
    <n v="1.9139139139139139"/>
    <n v="557.6865165165168"/>
  </r>
  <r>
    <x v="935"/>
    <d v="2019-07-18T00:00:00"/>
    <x v="9"/>
    <x v="0"/>
    <x v="0"/>
    <x v="1"/>
    <x v="0"/>
    <x v="9"/>
    <x v="0"/>
    <x v="1"/>
    <x v="1"/>
    <n v="4"/>
    <n v="3"/>
    <n v="4"/>
    <n v="4"/>
    <n v="894.75"/>
    <x v="39"/>
    <m/>
    <n v="557.6865165165168"/>
    <x v="0"/>
    <n v="1.9139139139139139"/>
    <n v="557.6865165165168"/>
  </r>
  <r>
    <x v="936"/>
    <d v="2021-04-09T00:00:00"/>
    <x v="7"/>
    <x v="0"/>
    <x v="2"/>
    <x v="0"/>
    <x v="0"/>
    <x v="3"/>
    <x v="0"/>
    <x v="0"/>
    <x v="2"/>
    <n v="5"/>
    <n v="1"/>
    <n v="3"/>
    <n v="4"/>
    <n v="863.73"/>
    <x v="18"/>
    <m/>
    <n v="557.6865165165168"/>
    <x v="0"/>
    <n v="1.9139139139139139"/>
    <n v="557.6865165165168"/>
  </r>
  <r>
    <x v="937"/>
    <d v="2018-12-30T00:00:00"/>
    <x v="1"/>
    <x v="0"/>
    <x v="2"/>
    <x v="0"/>
    <x v="0"/>
    <x v="8"/>
    <x v="0"/>
    <x v="0"/>
    <x v="1"/>
    <n v="1"/>
    <n v="2"/>
    <n v="3"/>
    <n v="2"/>
    <n v="746.99"/>
    <x v="37"/>
    <m/>
    <n v="557.6865165165168"/>
    <x v="0"/>
    <n v="1.9139139139139139"/>
    <n v="557.6865165165168"/>
  </r>
  <r>
    <x v="938"/>
    <d v="2021-07-30T00:00:00"/>
    <x v="8"/>
    <x v="0"/>
    <x v="0"/>
    <x v="0"/>
    <x v="0"/>
    <x v="4"/>
    <x v="0"/>
    <x v="0"/>
    <x v="1"/>
    <n v="4"/>
    <n v="2"/>
    <n v="3"/>
    <n v="4"/>
    <n v="360.38"/>
    <x v="3"/>
    <m/>
    <n v="557.6865165165168"/>
    <x v="0"/>
    <n v="1.9139139139139139"/>
    <n v="557.6865165165168"/>
  </r>
  <r>
    <x v="939"/>
    <d v="2022-10-28T00:00:00"/>
    <x v="3"/>
    <x v="0"/>
    <x v="1"/>
    <x v="0"/>
    <x v="0"/>
    <x v="4"/>
    <x v="0"/>
    <x v="1"/>
    <x v="2"/>
    <n v="1"/>
    <n v="2"/>
    <n v="2"/>
    <n v="1"/>
    <n v="298.3"/>
    <x v="29"/>
    <m/>
    <n v="557.6865165165168"/>
    <x v="0"/>
    <n v="1.9139139139139139"/>
    <n v="557.6865165165168"/>
  </r>
  <r>
    <x v="940"/>
    <d v="2020-10-29T00:00:00"/>
    <x v="9"/>
    <x v="0"/>
    <x v="0"/>
    <x v="0"/>
    <x v="0"/>
    <x v="9"/>
    <x v="0"/>
    <x v="1"/>
    <x v="1"/>
    <n v="4"/>
    <n v="5"/>
    <n v="5"/>
    <n v="3"/>
    <n v="537.12"/>
    <x v="46"/>
    <m/>
    <n v="557.6865165165168"/>
    <x v="0"/>
    <n v="1.9139139139139139"/>
    <n v="557.6865165165168"/>
  </r>
  <r>
    <x v="941"/>
    <d v="2023-03-17T00:00:00"/>
    <x v="5"/>
    <x v="0"/>
    <x v="0"/>
    <x v="2"/>
    <x v="0"/>
    <x v="4"/>
    <x v="0"/>
    <x v="1"/>
    <x v="1"/>
    <n v="1"/>
    <n v="4"/>
    <n v="1"/>
    <n v="2"/>
    <n v="996.18"/>
    <x v="51"/>
    <m/>
    <n v="557.6865165165168"/>
    <x v="0"/>
    <n v="1.9139139139139139"/>
    <n v="557.6865165165168"/>
  </r>
  <r>
    <x v="942"/>
    <d v="2022-07-20T00:00:00"/>
    <x v="6"/>
    <x v="0"/>
    <x v="1"/>
    <x v="1"/>
    <x v="0"/>
    <x v="3"/>
    <x v="0"/>
    <x v="0"/>
    <x v="2"/>
    <n v="3"/>
    <n v="1"/>
    <n v="3"/>
    <n v="4"/>
    <n v="764.43"/>
    <x v="48"/>
    <m/>
    <n v="557.6865165165168"/>
    <x v="0"/>
    <n v="1.9139139139139139"/>
    <n v="557.6865165165168"/>
  </r>
  <r>
    <x v="943"/>
    <d v="2023-08-04T00:00:00"/>
    <x v="2"/>
    <x v="0"/>
    <x v="2"/>
    <x v="1"/>
    <x v="0"/>
    <x v="4"/>
    <x v="0"/>
    <x v="0"/>
    <x v="2"/>
    <n v="3"/>
    <n v="1"/>
    <n v="4"/>
    <n v="5"/>
    <n v="490.33"/>
    <x v="18"/>
    <m/>
    <n v="557.6865165165168"/>
    <x v="0"/>
    <n v="1.9139139139139139"/>
    <n v="557.6865165165168"/>
  </r>
  <r>
    <x v="944"/>
    <d v="2021-11-26T00:00:00"/>
    <x v="4"/>
    <x v="0"/>
    <x v="0"/>
    <x v="1"/>
    <x v="0"/>
    <x v="4"/>
    <x v="0"/>
    <x v="0"/>
    <x v="2"/>
    <n v="1"/>
    <n v="1"/>
    <n v="5"/>
    <n v="4"/>
    <n v="758.41"/>
    <x v="52"/>
    <m/>
    <n v="557.6865165165168"/>
    <x v="0"/>
    <n v="1.9139139139139139"/>
    <n v="557.6865165165168"/>
  </r>
  <r>
    <x v="945"/>
    <d v="2018-09-27T00:00:00"/>
    <x v="0"/>
    <x v="0"/>
    <x v="1"/>
    <x v="1"/>
    <x v="0"/>
    <x v="23"/>
    <x v="0"/>
    <x v="0"/>
    <x v="2"/>
    <n v="2"/>
    <n v="4"/>
    <n v="2"/>
    <n v="3"/>
    <n v="367.56"/>
    <x v="17"/>
    <m/>
    <n v="557.6865165165168"/>
    <x v="0"/>
    <n v="1.9139139139139139"/>
    <n v="557.6865165165168"/>
  </r>
  <r>
    <x v="946"/>
    <d v="2019-08-04T00:00:00"/>
    <x v="7"/>
    <x v="0"/>
    <x v="0"/>
    <x v="0"/>
    <x v="0"/>
    <x v="4"/>
    <x v="0"/>
    <x v="0"/>
    <x v="2"/>
    <n v="5"/>
    <n v="2"/>
    <n v="3"/>
    <n v="5"/>
    <n v="582.49"/>
    <x v="9"/>
    <m/>
    <n v="557.6865165165168"/>
    <x v="0"/>
    <n v="1.9139139139139139"/>
    <n v="557.6865165165168"/>
  </r>
  <r>
    <x v="947"/>
    <d v="2019-10-03T00:00:00"/>
    <x v="1"/>
    <x v="0"/>
    <x v="0"/>
    <x v="0"/>
    <x v="0"/>
    <x v="3"/>
    <x v="0"/>
    <x v="0"/>
    <x v="2"/>
    <n v="5"/>
    <n v="5"/>
    <n v="3"/>
    <n v="2"/>
    <n v="561.14"/>
    <x v="42"/>
    <m/>
    <n v="557.6865165165168"/>
    <x v="0"/>
    <n v="1.9139139139139139"/>
    <n v="557.6865165165168"/>
  </r>
  <r>
    <x v="948"/>
    <d v="2020-09-13T00:00:00"/>
    <x v="5"/>
    <x v="0"/>
    <x v="2"/>
    <x v="1"/>
    <x v="0"/>
    <x v="3"/>
    <x v="0"/>
    <x v="0"/>
    <x v="2"/>
    <n v="1"/>
    <n v="1"/>
    <n v="3"/>
    <n v="5"/>
    <n v="151.43"/>
    <x v="7"/>
    <m/>
    <n v="557.6865165165168"/>
    <x v="0"/>
    <n v="1.9139139139139139"/>
    <n v="557.6865165165168"/>
  </r>
  <r>
    <x v="949"/>
    <d v="2022-11-15T00:00:00"/>
    <x v="2"/>
    <x v="0"/>
    <x v="2"/>
    <x v="2"/>
    <x v="0"/>
    <x v="2"/>
    <x v="0"/>
    <x v="1"/>
    <x v="2"/>
    <n v="4"/>
    <n v="2"/>
    <n v="2"/>
    <n v="5"/>
    <n v="675.71"/>
    <x v="36"/>
    <m/>
    <n v="557.6865165165168"/>
    <x v="0"/>
    <n v="1.9139139139139139"/>
    <n v="557.6865165165168"/>
  </r>
  <r>
    <x v="950"/>
    <d v="2020-02-07T00:00:00"/>
    <x v="9"/>
    <x v="1"/>
    <x v="1"/>
    <x v="0"/>
    <x v="0"/>
    <x v="4"/>
    <x v="0"/>
    <x v="1"/>
    <x v="2"/>
    <n v="5"/>
    <n v="1"/>
    <n v="2"/>
    <n v="5"/>
    <n v="436.63"/>
    <x v="47"/>
    <m/>
    <n v="557.6865165165168"/>
    <x v="0"/>
    <n v="1.9139139139139139"/>
    <n v="557.6865165165168"/>
  </r>
  <r>
    <x v="951"/>
    <d v="2022-12-31T00:00:00"/>
    <x v="7"/>
    <x v="0"/>
    <x v="2"/>
    <x v="1"/>
    <x v="0"/>
    <x v="8"/>
    <x v="0"/>
    <x v="0"/>
    <x v="2"/>
    <n v="4"/>
    <n v="3"/>
    <n v="4"/>
    <n v="2"/>
    <n v="387.11"/>
    <x v="33"/>
    <m/>
    <n v="557.6865165165168"/>
    <x v="0"/>
    <n v="1.9139139139139139"/>
    <n v="557.6865165165168"/>
  </r>
  <r>
    <x v="952"/>
    <d v="2019-03-26T00:00:00"/>
    <x v="3"/>
    <x v="0"/>
    <x v="1"/>
    <x v="2"/>
    <x v="0"/>
    <x v="4"/>
    <x v="0"/>
    <x v="0"/>
    <x v="2"/>
    <n v="4"/>
    <n v="4"/>
    <n v="5"/>
    <n v="4"/>
    <n v="320.38"/>
    <x v="59"/>
    <m/>
    <n v="557.6865165165168"/>
    <x v="0"/>
    <n v="1.9139139139139139"/>
    <n v="557.6865165165168"/>
  </r>
  <r>
    <x v="953"/>
    <d v="2023-03-22T00:00:00"/>
    <x v="5"/>
    <x v="0"/>
    <x v="1"/>
    <x v="0"/>
    <x v="0"/>
    <x v="6"/>
    <x v="0"/>
    <x v="1"/>
    <x v="2"/>
    <n v="1"/>
    <n v="5"/>
    <n v="1"/>
    <n v="2"/>
    <n v="294.55"/>
    <x v="29"/>
    <m/>
    <n v="557.6865165165168"/>
    <x v="0"/>
    <n v="1.9139139139139139"/>
    <n v="557.6865165165168"/>
  </r>
  <r>
    <x v="954"/>
    <d v="2022-12-23T00:00:00"/>
    <x v="5"/>
    <x v="1"/>
    <x v="1"/>
    <x v="0"/>
    <x v="0"/>
    <x v="3"/>
    <x v="0"/>
    <x v="1"/>
    <x v="2"/>
    <n v="2"/>
    <n v="2"/>
    <n v="1"/>
    <n v="1"/>
    <n v="832.86"/>
    <x v="54"/>
    <m/>
    <n v="557.6865165165168"/>
    <x v="0"/>
    <n v="1.9139139139139139"/>
    <n v="557.6865165165168"/>
  </r>
  <r>
    <x v="955"/>
    <d v="2019-12-27T00:00:00"/>
    <x v="2"/>
    <x v="0"/>
    <x v="0"/>
    <x v="0"/>
    <x v="0"/>
    <x v="2"/>
    <x v="0"/>
    <x v="0"/>
    <x v="2"/>
    <n v="2"/>
    <n v="2"/>
    <n v="4"/>
    <n v="5"/>
    <n v="223.34"/>
    <x v="46"/>
    <m/>
    <n v="557.6865165165168"/>
    <x v="0"/>
    <n v="1.9139139139139139"/>
    <n v="557.6865165165168"/>
  </r>
  <r>
    <x v="956"/>
    <d v="2019-06-25T00:00:00"/>
    <x v="9"/>
    <x v="0"/>
    <x v="1"/>
    <x v="2"/>
    <x v="0"/>
    <x v="6"/>
    <x v="0"/>
    <x v="0"/>
    <x v="1"/>
    <n v="2"/>
    <n v="1"/>
    <n v="5"/>
    <n v="3"/>
    <n v="456.95"/>
    <x v="6"/>
    <m/>
    <n v="557.6865165165168"/>
    <x v="0"/>
    <n v="1.9139139139139139"/>
    <n v="557.6865165165168"/>
  </r>
  <r>
    <x v="957"/>
    <d v="2018-11-23T00:00:00"/>
    <x v="7"/>
    <x v="0"/>
    <x v="0"/>
    <x v="1"/>
    <x v="0"/>
    <x v="4"/>
    <x v="0"/>
    <x v="0"/>
    <x v="1"/>
    <n v="2"/>
    <n v="1"/>
    <n v="1"/>
    <n v="5"/>
    <n v="988.47"/>
    <x v="11"/>
    <m/>
    <n v="557.6865165165168"/>
    <x v="0"/>
    <n v="1.9139139139139139"/>
    <n v="557.6865165165168"/>
  </r>
  <r>
    <x v="958"/>
    <d v="2021-01-17T00:00:00"/>
    <x v="3"/>
    <x v="0"/>
    <x v="1"/>
    <x v="1"/>
    <x v="0"/>
    <x v="13"/>
    <x v="0"/>
    <x v="0"/>
    <x v="1"/>
    <n v="2"/>
    <n v="2"/>
    <n v="4"/>
    <n v="1"/>
    <n v="429.49"/>
    <x v="2"/>
    <m/>
    <n v="557.6865165165168"/>
    <x v="0"/>
    <n v="1.9139139139139139"/>
    <n v="557.6865165165168"/>
  </r>
  <r>
    <x v="959"/>
    <d v="2021-09-08T00:00:00"/>
    <x v="5"/>
    <x v="0"/>
    <x v="0"/>
    <x v="0"/>
    <x v="0"/>
    <x v="6"/>
    <x v="0"/>
    <x v="1"/>
    <x v="1"/>
    <n v="5"/>
    <n v="2"/>
    <n v="5"/>
    <n v="3"/>
    <n v="798.97"/>
    <x v="20"/>
    <m/>
    <n v="557.6865165165168"/>
    <x v="0"/>
    <n v="1.9139139139139139"/>
    <n v="557.6865165165168"/>
  </r>
  <r>
    <x v="960"/>
    <d v="2021-02-24T00:00:00"/>
    <x v="4"/>
    <x v="0"/>
    <x v="1"/>
    <x v="1"/>
    <x v="0"/>
    <x v="13"/>
    <x v="0"/>
    <x v="1"/>
    <x v="1"/>
    <n v="2"/>
    <n v="3"/>
    <n v="1"/>
    <n v="2"/>
    <n v="864.22"/>
    <x v="59"/>
    <m/>
    <n v="557.6865165165168"/>
    <x v="0"/>
    <n v="1.9139139139139139"/>
    <n v="557.6865165165168"/>
  </r>
  <r>
    <x v="961"/>
    <d v="2019-04-12T00:00:00"/>
    <x v="0"/>
    <x v="0"/>
    <x v="1"/>
    <x v="0"/>
    <x v="0"/>
    <x v="9"/>
    <x v="0"/>
    <x v="0"/>
    <x v="1"/>
    <n v="1"/>
    <n v="1"/>
    <n v="2"/>
    <n v="1"/>
    <n v="302.52"/>
    <x v="43"/>
    <m/>
    <n v="557.6865165165168"/>
    <x v="0"/>
    <n v="1.9139139139139139"/>
    <n v="557.6865165165168"/>
  </r>
  <r>
    <x v="962"/>
    <d v="2023-07-13T00:00:00"/>
    <x v="1"/>
    <x v="0"/>
    <x v="0"/>
    <x v="0"/>
    <x v="0"/>
    <x v="10"/>
    <x v="0"/>
    <x v="0"/>
    <x v="1"/>
    <n v="4"/>
    <n v="5"/>
    <n v="5"/>
    <n v="4"/>
    <n v="152.66"/>
    <x v="6"/>
    <m/>
    <n v="557.6865165165168"/>
    <x v="0"/>
    <n v="1.9139139139139139"/>
    <n v="557.6865165165168"/>
  </r>
  <r>
    <x v="963"/>
    <d v="2020-10-05T00:00:00"/>
    <x v="8"/>
    <x v="0"/>
    <x v="0"/>
    <x v="0"/>
    <x v="0"/>
    <x v="4"/>
    <x v="0"/>
    <x v="0"/>
    <x v="1"/>
    <n v="5"/>
    <n v="4"/>
    <n v="5"/>
    <n v="2"/>
    <n v="399.05"/>
    <x v="54"/>
    <m/>
    <n v="557.6865165165168"/>
    <x v="0"/>
    <n v="1.9139139139139139"/>
    <n v="557.6865165165168"/>
  </r>
  <r>
    <x v="964"/>
    <d v="2019-01-27T00:00:00"/>
    <x v="6"/>
    <x v="0"/>
    <x v="2"/>
    <x v="0"/>
    <x v="0"/>
    <x v="2"/>
    <x v="0"/>
    <x v="0"/>
    <x v="1"/>
    <n v="2"/>
    <n v="5"/>
    <n v="1"/>
    <n v="2"/>
    <n v="791.74"/>
    <x v="47"/>
    <m/>
    <n v="557.6865165165168"/>
    <x v="0"/>
    <n v="1.9139139139139139"/>
    <n v="557.6865165165168"/>
  </r>
  <r>
    <x v="965"/>
    <d v="2020-12-17T00:00:00"/>
    <x v="2"/>
    <x v="0"/>
    <x v="2"/>
    <x v="1"/>
    <x v="0"/>
    <x v="19"/>
    <x v="0"/>
    <x v="0"/>
    <x v="1"/>
    <n v="1"/>
    <n v="1"/>
    <n v="3"/>
    <n v="4"/>
    <n v="770.23"/>
    <x v="47"/>
    <m/>
    <n v="557.6865165165168"/>
    <x v="0"/>
    <n v="1.9139139139139139"/>
    <n v="557.6865165165168"/>
  </r>
  <r>
    <x v="966"/>
    <d v="2021-03-04T00:00:00"/>
    <x v="9"/>
    <x v="0"/>
    <x v="1"/>
    <x v="1"/>
    <x v="0"/>
    <x v="18"/>
    <x v="0"/>
    <x v="0"/>
    <x v="1"/>
    <n v="1"/>
    <n v="4"/>
    <n v="5"/>
    <n v="3"/>
    <n v="746.05"/>
    <x v="37"/>
    <m/>
    <n v="557.6865165165168"/>
    <x v="0"/>
    <n v="1.9139139139139139"/>
    <n v="557.6865165165168"/>
  </r>
  <r>
    <x v="967"/>
    <d v="2023-03-30T00:00:00"/>
    <x v="7"/>
    <x v="0"/>
    <x v="1"/>
    <x v="1"/>
    <x v="0"/>
    <x v="16"/>
    <x v="0"/>
    <x v="0"/>
    <x v="0"/>
    <n v="3"/>
    <n v="4"/>
    <n v="2"/>
    <n v="2"/>
    <n v="177.66"/>
    <x v="48"/>
    <m/>
    <n v="557.6865165165168"/>
    <x v="0"/>
    <n v="1.9139139139139139"/>
    <n v="557.6865165165168"/>
  </r>
  <r>
    <x v="968"/>
    <d v="2018-12-27T00:00:00"/>
    <x v="3"/>
    <x v="0"/>
    <x v="0"/>
    <x v="1"/>
    <x v="0"/>
    <x v="4"/>
    <x v="0"/>
    <x v="0"/>
    <x v="1"/>
    <n v="3"/>
    <n v="1"/>
    <n v="3"/>
    <n v="5"/>
    <n v="429.38"/>
    <x v="19"/>
    <m/>
    <n v="557.6865165165168"/>
    <x v="0"/>
    <n v="1.9139139139139139"/>
    <n v="557.6865165165168"/>
  </r>
  <r>
    <x v="969"/>
    <d v="2021-09-20T00:00:00"/>
    <x v="5"/>
    <x v="0"/>
    <x v="1"/>
    <x v="2"/>
    <x v="0"/>
    <x v="4"/>
    <x v="0"/>
    <x v="0"/>
    <x v="1"/>
    <n v="4"/>
    <n v="2"/>
    <n v="4"/>
    <n v="3"/>
    <n v="867.59"/>
    <x v="54"/>
    <m/>
    <n v="557.6865165165168"/>
    <x v="0"/>
    <n v="1.9139139139139139"/>
    <n v="557.6865165165168"/>
  </r>
  <r>
    <x v="970"/>
    <d v="2023-02-08T00:00:00"/>
    <x v="4"/>
    <x v="0"/>
    <x v="2"/>
    <x v="2"/>
    <x v="0"/>
    <x v="2"/>
    <x v="0"/>
    <x v="0"/>
    <x v="1"/>
    <n v="1"/>
    <n v="4"/>
    <n v="1"/>
    <n v="5"/>
    <n v="502.65"/>
    <x v="39"/>
    <m/>
    <n v="557.6865165165168"/>
    <x v="0"/>
    <n v="1.9139139139139139"/>
    <n v="557.6865165165168"/>
  </r>
  <r>
    <x v="971"/>
    <d v="2019-10-16T00:00:00"/>
    <x v="0"/>
    <x v="1"/>
    <x v="1"/>
    <x v="2"/>
    <x v="0"/>
    <x v="4"/>
    <x v="0"/>
    <x v="1"/>
    <x v="1"/>
    <n v="3"/>
    <n v="4"/>
    <n v="2"/>
    <n v="3"/>
    <n v="488.68"/>
    <x v="9"/>
    <m/>
    <n v="557.6865165165168"/>
    <x v="0"/>
    <n v="1.9139139139139139"/>
    <n v="557.6865165165168"/>
  </r>
  <r>
    <x v="972"/>
    <d v="2021-08-31T00:00:00"/>
    <x v="7"/>
    <x v="0"/>
    <x v="0"/>
    <x v="0"/>
    <x v="0"/>
    <x v="9"/>
    <x v="0"/>
    <x v="1"/>
    <x v="1"/>
    <n v="2"/>
    <n v="4"/>
    <n v="1"/>
    <n v="3"/>
    <n v="416.76"/>
    <x v="53"/>
    <m/>
    <n v="557.6865165165168"/>
    <x v="0"/>
    <n v="1.9139139139139139"/>
    <n v="557.6865165165168"/>
  </r>
  <r>
    <x v="973"/>
    <d v="2020-09-25T00:00:00"/>
    <x v="1"/>
    <x v="0"/>
    <x v="0"/>
    <x v="2"/>
    <x v="0"/>
    <x v="4"/>
    <x v="0"/>
    <x v="0"/>
    <x v="1"/>
    <n v="5"/>
    <n v="2"/>
    <n v="1"/>
    <n v="4"/>
    <n v="336.08"/>
    <x v="33"/>
    <m/>
    <n v="557.6865165165168"/>
    <x v="0"/>
    <n v="1.9139139139139139"/>
    <n v="557.6865165165168"/>
  </r>
  <r>
    <x v="974"/>
    <d v="2023-02-01T00:00:00"/>
    <x v="8"/>
    <x v="1"/>
    <x v="1"/>
    <x v="0"/>
    <x v="0"/>
    <x v="6"/>
    <x v="0"/>
    <x v="0"/>
    <x v="1"/>
    <n v="2"/>
    <n v="1"/>
    <n v="3"/>
    <n v="1"/>
    <n v="798.37"/>
    <x v="64"/>
    <m/>
    <n v="557.6865165165168"/>
    <x v="0"/>
    <n v="1.9139139139139139"/>
    <n v="557.6865165165168"/>
  </r>
  <r>
    <x v="975"/>
    <d v="2023-01-17T00:00:00"/>
    <x v="3"/>
    <x v="0"/>
    <x v="1"/>
    <x v="1"/>
    <x v="0"/>
    <x v="13"/>
    <x v="0"/>
    <x v="1"/>
    <x v="1"/>
    <n v="2"/>
    <n v="3"/>
    <n v="3"/>
    <n v="3"/>
    <n v="499.48"/>
    <x v="13"/>
    <m/>
    <n v="557.6865165165168"/>
    <x v="0"/>
    <n v="1.9139139139139139"/>
    <n v="557.6865165165168"/>
  </r>
  <r>
    <x v="976"/>
    <d v="2019-12-07T00:00:00"/>
    <x v="9"/>
    <x v="1"/>
    <x v="0"/>
    <x v="0"/>
    <x v="0"/>
    <x v="4"/>
    <x v="0"/>
    <x v="1"/>
    <x v="3"/>
    <n v="1"/>
    <n v="4"/>
    <n v="1"/>
    <n v="2"/>
    <n v="615.32000000000005"/>
    <x v="36"/>
    <m/>
    <n v="557.6865165165168"/>
    <x v="0"/>
    <n v="1.9139139139139139"/>
    <n v="557.6865165165168"/>
  </r>
  <r>
    <x v="977"/>
    <d v="2018-11-21T00:00:00"/>
    <x v="0"/>
    <x v="0"/>
    <x v="0"/>
    <x v="2"/>
    <x v="0"/>
    <x v="13"/>
    <x v="0"/>
    <x v="0"/>
    <x v="1"/>
    <n v="5"/>
    <n v="5"/>
    <n v="3"/>
    <n v="5"/>
    <n v="410.36"/>
    <x v="31"/>
    <m/>
    <n v="557.6865165165168"/>
    <x v="0"/>
    <n v="1.9139139139139139"/>
    <n v="557.6865165165168"/>
  </r>
  <r>
    <x v="978"/>
    <d v="2021-02-15T00:00:00"/>
    <x v="7"/>
    <x v="0"/>
    <x v="2"/>
    <x v="2"/>
    <x v="0"/>
    <x v="4"/>
    <x v="0"/>
    <x v="0"/>
    <x v="1"/>
    <n v="1"/>
    <n v="1"/>
    <n v="3"/>
    <n v="5"/>
    <n v="453.86"/>
    <x v="12"/>
    <m/>
    <n v="557.6865165165168"/>
    <x v="0"/>
    <n v="1.9139139139139139"/>
    <n v="557.6865165165168"/>
  </r>
  <r>
    <x v="979"/>
    <d v="2021-01-06T00:00:00"/>
    <x v="1"/>
    <x v="0"/>
    <x v="2"/>
    <x v="2"/>
    <x v="0"/>
    <x v="9"/>
    <x v="0"/>
    <x v="0"/>
    <x v="1"/>
    <n v="3"/>
    <n v="4"/>
    <n v="2"/>
    <n v="1"/>
    <n v="975.27"/>
    <x v="10"/>
    <m/>
    <n v="557.6865165165168"/>
    <x v="0"/>
    <n v="1.9139139139139139"/>
    <n v="557.6865165165168"/>
  </r>
  <r>
    <x v="980"/>
    <d v="2019-01-18T00:00:00"/>
    <x v="8"/>
    <x v="0"/>
    <x v="2"/>
    <x v="2"/>
    <x v="0"/>
    <x v="12"/>
    <x v="0"/>
    <x v="1"/>
    <x v="2"/>
    <n v="5"/>
    <n v="1"/>
    <n v="4"/>
    <n v="2"/>
    <n v="946.81"/>
    <x v="17"/>
    <m/>
    <n v="557.6865165165168"/>
    <x v="0"/>
    <n v="1.9139139139139139"/>
    <n v="557.6865165165168"/>
  </r>
  <r>
    <x v="981"/>
    <d v="2023-03-15T00:00:00"/>
    <x v="3"/>
    <x v="0"/>
    <x v="1"/>
    <x v="1"/>
    <x v="0"/>
    <x v="4"/>
    <x v="0"/>
    <x v="1"/>
    <x v="1"/>
    <n v="3"/>
    <n v="5"/>
    <n v="3"/>
    <n v="5"/>
    <n v="142.57"/>
    <x v="3"/>
    <m/>
    <n v="557.6865165165168"/>
    <x v="0"/>
    <n v="1.9139139139139139"/>
    <n v="557.6865165165168"/>
  </r>
  <r>
    <x v="982"/>
    <d v="2019-11-11T00:00:00"/>
    <x v="9"/>
    <x v="0"/>
    <x v="0"/>
    <x v="0"/>
    <x v="0"/>
    <x v="0"/>
    <x v="0"/>
    <x v="0"/>
    <x v="1"/>
    <n v="1"/>
    <n v="1"/>
    <n v="1"/>
    <n v="5"/>
    <n v="186.57"/>
    <x v="14"/>
    <m/>
    <n v="557.6865165165168"/>
    <x v="0"/>
    <n v="1.9139139139139139"/>
    <n v="557.6865165165168"/>
  </r>
  <r>
    <x v="983"/>
    <d v="2022-08-21T00:00:00"/>
    <x v="5"/>
    <x v="0"/>
    <x v="1"/>
    <x v="1"/>
    <x v="0"/>
    <x v="12"/>
    <x v="0"/>
    <x v="0"/>
    <x v="1"/>
    <n v="3"/>
    <n v="5"/>
    <n v="4"/>
    <n v="4"/>
    <n v="168.71"/>
    <x v="34"/>
    <m/>
    <n v="557.6865165165168"/>
    <x v="0"/>
    <n v="1.9139139139139139"/>
    <n v="557.6865165165168"/>
  </r>
  <r>
    <x v="984"/>
    <d v="2020-05-05T00:00:00"/>
    <x v="6"/>
    <x v="0"/>
    <x v="1"/>
    <x v="2"/>
    <x v="0"/>
    <x v="3"/>
    <x v="0"/>
    <x v="0"/>
    <x v="1"/>
    <n v="5"/>
    <n v="2"/>
    <n v="1"/>
    <n v="1"/>
    <n v="473.77"/>
    <x v="38"/>
    <m/>
    <n v="557.6865165165168"/>
    <x v="0"/>
    <n v="1.9139139139139139"/>
    <n v="557.6865165165168"/>
  </r>
  <r>
    <x v="985"/>
    <d v="2021-03-05T00:00:00"/>
    <x v="2"/>
    <x v="0"/>
    <x v="0"/>
    <x v="1"/>
    <x v="0"/>
    <x v="1"/>
    <x v="0"/>
    <x v="0"/>
    <x v="1"/>
    <n v="1"/>
    <n v="2"/>
    <n v="1"/>
    <n v="5"/>
    <n v="654.35"/>
    <x v="0"/>
    <m/>
    <n v="557.6865165165168"/>
    <x v="0"/>
    <n v="1.9139139139139139"/>
    <n v="557.6865165165168"/>
  </r>
  <r>
    <x v="986"/>
    <d v="2019-03-07T00:00:00"/>
    <x v="4"/>
    <x v="0"/>
    <x v="2"/>
    <x v="1"/>
    <x v="0"/>
    <x v="6"/>
    <x v="0"/>
    <x v="0"/>
    <x v="0"/>
    <n v="5"/>
    <n v="5"/>
    <n v="2"/>
    <n v="2"/>
    <n v="176.63"/>
    <x v="27"/>
    <m/>
    <n v="557.6865165165168"/>
    <x v="0"/>
    <n v="1.9139139139139139"/>
    <n v="557.6865165165168"/>
  </r>
  <r>
    <x v="987"/>
    <d v="2022-05-08T00:00:00"/>
    <x v="0"/>
    <x v="0"/>
    <x v="1"/>
    <x v="2"/>
    <x v="0"/>
    <x v="3"/>
    <x v="0"/>
    <x v="0"/>
    <x v="0"/>
    <n v="4"/>
    <n v="4"/>
    <n v="2"/>
    <n v="3"/>
    <n v="385.82"/>
    <x v="62"/>
    <m/>
    <n v="557.6865165165168"/>
    <x v="0"/>
    <n v="1.9139139139139139"/>
    <n v="557.6865165165168"/>
  </r>
  <r>
    <x v="988"/>
    <d v="2020-12-01T00:00:00"/>
    <x v="1"/>
    <x v="0"/>
    <x v="0"/>
    <x v="1"/>
    <x v="0"/>
    <x v="10"/>
    <x v="0"/>
    <x v="0"/>
    <x v="0"/>
    <n v="3"/>
    <n v="5"/>
    <n v="2"/>
    <n v="5"/>
    <n v="112.64"/>
    <x v="25"/>
    <m/>
    <n v="557.6865165165168"/>
    <x v="0"/>
    <n v="1.9139139139139139"/>
    <n v="557.6865165165168"/>
  </r>
  <r>
    <x v="989"/>
    <d v="2019-08-13T00:00:00"/>
    <x v="8"/>
    <x v="0"/>
    <x v="0"/>
    <x v="1"/>
    <x v="0"/>
    <x v="6"/>
    <x v="0"/>
    <x v="0"/>
    <x v="2"/>
    <n v="2"/>
    <n v="3"/>
    <n v="4"/>
    <n v="4"/>
    <n v="849.95"/>
    <x v="53"/>
    <m/>
    <n v="557.6865165165168"/>
    <x v="0"/>
    <n v="1.9139139139139139"/>
    <n v="557.6865165165168"/>
  </r>
  <r>
    <x v="990"/>
    <d v="2020-03-09T00:00:00"/>
    <x v="3"/>
    <x v="0"/>
    <x v="2"/>
    <x v="0"/>
    <x v="0"/>
    <x v="9"/>
    <x v="0"/>
    <x v="0"/>
    <x v="1"/>
    <n v="1"/>
    <n v="3"/>
    <n v="3"/>
    <n v="5"/>
    <n v="187.65"/>
    <x v="15"/>
    <m/>
    <n v="557.6865165165168"/>
    <x v="0"/>
    <n v="1.9139139139139139"/>
    <n v="557.6865165165168"/>
  </r>
  <r>
    <x v="991"/>
    <d v="2020-05-06T00:00:00"/>
    <x v="0"/>
    <x v="0"/>
    <x v="1"/>
    <x v="2"/>
    <x v="0"/>
    <x v="6"/>
    <x v="0"/>
    <x v="1"/>
    <x v="1"/>
    <n v="4"/>
    <n v="5"/>
    <n v="2"/>
    <n v="1"/>
    <n v="285.56"/>
    <x v="60"/>
    <m/>
    <n v="557.6865165165168"/>
    <x v="0"/>
    <n v="1.9139139139139139"/>
    <n v="557.6865165165168"/>
  </r>
  <r>
    <x v="992"/>
    <d v="2022-08-03T00:00:00"/>
    <x v="7"/>
    <x v="0"/>
    <x v="1"/>
    <x v="2"/>
    <x v="0"/>
    <x v="4"/>
    <x v="0"/>
    <x v="1"/>
    <x v="0"/>
    <n v="2"/>
    <n v="2"/>
    <n v="4"/>
    <n v="3"/>
    <n v="793.43"/>
    <x v="58"/>
    <m/>
    <n v="557.6865165165168"/>
    <x v="0"/>
    <n v="1.9139139139139139"/>
    <n v="557.6865165165168"/>
  </r>
  <r>
    <x v="993"/>
    <d v="2018-10-13T00:00:00"/>
    <x v="1"/>
    <x v="1"/>
    <x v="0"/>
    <x v="2"/>
    <x v="0"/>
    <x v="8"/>
    <x v="0"/>
    <x v="0"/>
    <x v="0"/>
    <n v="5"/>
    <n v="5"/>
    <n v="5"/>
    <n v="5"/>
    <n v="978.89"/>
    <x v="26"/>
    <m/>
    <n v="557.6865165165168"/>
    <x v="0"/>
    <n v="1.9139139139139139"/>
    <n v="557.6865165165168"/>
  </r>
  <r>
    <x v="994"/>
    <d v="2021-07-04T00:00:00"/>
    <x v="8"/>
    <x v="0"/>
    <x v="2"/>
    <x v="1"/>
    <x v="0"/>
    <x v="3"/>
    <x v="0"/>
    <x v="1"/>
    <x v="0"/>
    <n v="3"/>
    <n v="3"/>
    <n v="4"/>
    <n v="4"/>
    <n v="993.66"/>
    <x v="0"/>
    <m/>
    <n v="557.6865165165168"/>
    <x v="0"/>
    <n v="1.9139139139139139"/>
    <n v="557.6865165165168"/>
  </r>
  <r>
    <x v="995"/>
    <d v="2019-04-30T00:00:00"/>
    <x v="3"/>
    <x v="0"/>
    <x v="2"/>
    <x v="1"/>
    <x v="0"/>
    <x v="8"/>
    <x v="0"/>
    <x v="1"/>
    <x v="0"/>
    <n v="2"/>
    <n v="3"/>
    <n v="3"/>
    <n v="3"/>
    <n v="768.55"/>
    <x v="26"/>
    <m/>
    <n v="557.6865165165168"/>
    <x v="0"/>
    <n v="1.9139139139139139"/>
    <n v="557.6865165165168"/>
  </r>
  <r>
    <x v="996"/>
    <d v="2020-11-03T00:00:00"/>
    <x v="9"/>
    <x v="0"/>
    <x v="0"/>
    <x v="0"/>
    <x v="0"/>
    <x v="6"/>
    <x v="0"/>
    <x v="1"/>
    <x v="2"/>
    <n v="5"/>
    <n v="4"/>
    <n v="5"/>
    <n v="3"/>
    <n v="140.78"/>
    <x v="17"/>
    <m/>
    <n v="557.6865165165168"/>
    <x v="0"/>
    <n v="1.9139139139139139"/>
    <n v="557.6865165165168"/>
  </r>
  <r>
    <x v="997"/>
    <d v="2022-08-15T00:00:00"/>
    <x v="4"/>
    <x v="0"/>
    <x v="1"/>
    <x v="2"/>
    <x v="0"/>
    <x v="6"/>
    <x v="0"/>
    <x v="0"/>
    <x v="1"/>
    <n v="1"/>
    <n v="5"/>
    <n v="3"/>
    <n v="3"/>
    <n v="598.07000000000005"/>
    <x v="33"/>
    <m/>
    <n v="557.6865165165168"/>
    <x v="0"/>
    <n v="1.9139139139139139"/>
    <n v="557.6865165165168"/>
  </r>
  <r>
    <x v="998"/>
    <d v="2022-02-26T00:00:00"/>
    <x v="0"/>
    <x v="0"/>
    <x v="0"/>
    <x v="1"/>
    <x v="0"/>
    <x v="3"/>
    <x v="0"/>
    <x v="0"/>
    <x v="0"/>
    <n v="4"/>
    <n v="2"/>
    <n v="3"/>
    <n v="5"/>
    <n v="543.52"/>
    <x v="42"/>
    <m/>
    <n v="557.6865165165168"/>
    <x v="0"/>
    <n v="1.9139139139139139"/>
    <n v="557.68651651651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57183-EF56-4095-9BD0-37330FA2499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2:D20" firstHeaderRow="1" firstDataRow="2" firstDataCol="1"/>
  <pivotFields count="22">
    <pivotField dataField="1" showAll="0"/>
    <pivotField numFmtId="15" showAll="0"/>
    <pivotField showAll="0">
      <items count="11">
        <item x="4"/>
        <item x="0"/>
        <item x="1"/>
        <item x="8"/>
        <item x="6"/>
        <item x="2"/>
        <item x="9"/>
        <item x="7"/>
        <item x="3"/>
        <item x="5"/>
        <item t="default"/>
      </items>
    </pivotField>
    <pivotField axis="axisCol" showAll="0">
      <items count="3">
        <item x="0"/>
        <item x="1"/>
        <item t="default"/>
      </items>
    </pivotField>
    <pivotField showAll="0">
      <items count="4">
        <item x="0"/>
        <item x="1"/>
        <item x="2"/>
        <item t="default"/>
      </items>
    </pivotField>
    <pivotField showAll="0"/>
    <pivotField axis="axisRow" showAll="0">
      <items count="7">
        <item x="5"/>
        <item x="3"/>
        <item x="2"/>
        <item x="0"/>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3"/>
  </colFields>
  <colItems count="3">
    <i>
      <x/>
    </i>
    <i>
      <x v="1"/>
    </i>
    <i t="grand">
      <x/>
    </i>
  </colItems>
  <dataFields count="1">
    <dataField name="Count of Employee ID" fld="0" subtotal="count" baseField="3" baseItem="0"/>
  </dataFields>
  <chartFormats count="5">
    <chartFormat chart="11" format="0"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19" format="8" series="1">
      <pivotArea type="data" outline="0" fieldPosition="0">
        <references count="2">
          <reference field="4294967294" count="1" selected="0">
            <x v="0"/>
          </reference>
          <reference field="3" count="1" selected="0">
            <x v="1"/>
          </reference>
        </references>
      </pivotArea>
    </chartFormat>
    <chartFormat chart="11" format="3" series="1">
      <pivotArea type="data" outline="0" fieldPosition="0">
        <references count="2">
          <reference field="4294967294" count="1" selected="0">
            <x v="0"/>
          </reference>
          <reference field="3" count="1" selected="0">
            <x v="1"/>
          </reference>
        </references>
      </pivotArea>
    </chartFormat>
    <chartFormat chart="19" format="9"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24BF5-B9BA-4A19-BAC6-5E081EE2414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22:C29" firstHeaderRow="0" firstDataRow="1" firstDataCol="1"/>
  <pivotFields count="22">
    <pivotField showAll="0"/>
    <pivotField numFmtId="15" showAll="0"/>
    <pivotField showAll="0">
      <items count="11">
        <item x="4"/>
        <item x="0"/>
        <item x="1"/>
        <item x="8"/>
        <item x="6"/>
        <item x="2"/>
        <item x="9"/>
        <item x="7"/>
        <item x="3"/>
        <item x="5"/>
        <item t="default"/>
      </items>
    </pivotField>
    <pivotField showAll="0">
      <items count="3">
        <item x="0"/>
        <item x="1"/>
        <item t="default"/>
      </items>
    </pivotField>
    <pivotField showAll="0">
      <items count="4">
        <item x="0"/>
        <item x="1"/>
        <item x="2"/>
        <item t="default"/>
      </items>
    </pivotField>
    <pivotField showAll="0"/>
    <pivotField axis="axisRow" showAll="0">
      <items count="7">
        <item x="5"/>
        <item x="3"/>
        <item x="2"/>
        <item x="0"/>
        <item x="1"/>
        <item x="4"/>
        <item t="default"/>
      </items>
    </pivotField>
    <pivotField showAll="0"/>
    <pivotField showAll="0"/>
    <pivotField showAll="0">
      <items count="3">
        <item x="0"/>
        <item x="1"/>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2"/>
  </colFields>
  <colItems count="2">
    <i>
      <x/>
    </i>
    <i i="1">
      <x v="1"/>
    </i>
  </colItems>
  <dataFields count="2">
    <dataField name="Average of Engagement Score" fld="11" subtotal="average" baseField="6" baseItem="1"/>
    <dataField name="Average of Satisfaction Score" fld="12" subtotal="average" baseField="6" baseItem="1"/>
  </dataFields>
  <chartFormats count="4">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 chart="43" format="10" series="1">
      <pivotArea type="data" outline="0" fieldPosition="0">
        <references count="1">
          <reference field="4294967294" count="1" selected="0">
            <x v="0"/>
          </reference>
        </references>
      </pivotArea>
    </chartFormat>
    <chartFormat chart="4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2D026-678E-4CE9-BA64-D1BCCB2F05E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2">
    <pivotField dataField="1" showAll="0"/>
    <pivotField numFmtId="15" showAll="0"/>
    <pivotField showAll="0">
      <items count="11">
        <item x="4"/>
        <item x="0"/>
        <item x="1"/>
        <item x="8"/>
        <item x="6"/>
        <item x="2"/>
        <item x="9"/>
        <item x="7"/>
        <item x="3"/>
        <item x="5"/>
        <item t="default"/>
      </items>
    </pivotField>
    <pivotField showAll="0"/>
    <pivotField showAll="0">
      <items count="4">
        <item x="0"/>
        <item x="1"/>
        <item x="2"/>
        <item t="default"/>
      </items>
    </pivotField>
    <pivotField showAll="0"/>
    <pivotField axis="axisRow" showAll="0">
      <items count="7">
        <item x="5"/>
        <item x="3"/>
        <item x="2"/>
        <item x="0"/>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Employee ID" fld="0" subtotal="count" baseField="6"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BFF17-E791-42A9-8E3A-2F223811DF7E}"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D3:E6" firstHeaderRow="1" firstDataRow="1" firstDataCol="1"/>
  <pivotFields count="22">
    <pivotField dataField="1" showAll="0"/>
    <pivotField numFmtId="15" showAll="0"/>
    <pivotField showAll="0">
      <items count="11">
        <item x="4"/>
        <item x="0"/>
        <item x="1"/>
        <item x="8"/>
        <item x="6"/>
        <item x="2"/>
        <item x="9"/>
        <item x="7"/>
        <item x="3"/>
        <item x="5"/>
        <item t="default"/>
      </items>
    </pivotField>
    <pivotField showAll="0">
      <items count="3">
        <item x="0"/>
        <item x="1"/>
        <item t="default"/>
      </items>
    </pivotField>
    <pivotField showAll="0">
      <items count="4">
        <item x="0"/>
        <item x="1"/>
        <item x="2"/>
        <item t="default"/>
      </items>
    </pivotField>
    <pivotField showAll="0">
      <items count="4">
        <item x="1"/>
        <item x="2"/>
        <item x="0"/>
        <item t="default"/>
      </items>
    </pivotField>
    <pivotField showAll="0">
      <items count="7">
        <item x="5"/>
        <item x="3"/>
        <item x="2"/>
        <item x="0"/>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66">
        <item x="43"/>
        <item x="55"/>
        <item x="27"/>
        <item x="30"/>
        <item x="23"/>
        <item x="3"/>
        <item x="46"/>
        <item x="17"/>
        <item x="18"/>
        <item x="2"/>
        <item x="39"/>
        <item x="38"/>
        <item x="13"/>
        <item x="44"/>
        <item x="37"/>
        <item x="29"/>
        <item x="48"/>
        <item x="41"/>
        <item x="16"/>
        <item x="49"/>
        <item x="15"/>
        <item x="52"/>
        <item x="21"/>
        <item x="11"/>
        <item x="58"/>
        <item x="28"/>
        <item x="7"/>
        <item x="54"/>
        <item x="51"/>
        <item x="42"/>
        <item x="40"/>
        <item x="53"/>
        <item x="0"/>
        <item x="62"/>
        <item x="22"/>
        <item x="19"/>
        <item x="57"/>
        <item x="31"/>
        <item x="56"/>
        <item x="36"/>
        <item x="1"/>
        <item x="9"/>
        <item x="35"/>
        <item x="34"/>
        <item x="47"/>
        <item x="6"/>
        <item x="32"/>
        <item x="60"/>
        <item x="59"/>
        <item x="14"/>
        <item x="12"/>
        <item x="26"/>
        <item x="10"/>
        <item x="4"/>
        <item x="61"/>
        <item x="8"/>
        <item x="50"/>
        <item x="20"/>
        <item x="25"/>
        <item x="24"/>
        <item x="33"/>
        <item x="45"/>
        <item x="5"/>
        <item x="64"/>
        <item x="63"/>
        <item t="default"/>
      </items>
    </pivotField>
    <pivotField showAll="0"/>
    <pivotField showAll="0"/>
    <pivotField showAll="0"/>
    <pivotField showAll="0"/>
    <pivotField showAll="0"/>
  </pivotFields>
  <rowFields count="1">
    <field x="9"/>
  </rowFields>
  <rowItems count="3">
    <i>
      <x/>
    </i>
    <i>
      <x v="1"/>
    </i>
    <i t="grand">
      <x/>
    </i>
  </rowItems>
  <colItems count="1">
    <i/>
  </colItems>
  <dataFields count="1">
    <dataField name="Count of Employee ID" fld="0" subtotal="count" baseField="3" baseItem="0"/>
  </dataFields>
  <chartFormats count="4">
    <chartFormat chart="1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FC44CC-1BC8-4900-A718-AB2D31EE731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E8:J16" firstHeaderRow="1" firstDataRow="2" firstDataCol="1"/>
  <pivotFields count="22">
    <pivotField dataField="1" showAll="0">
      <items count="1000">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umFmtId="15" showAll="0"/>
    <pivotField showAll="0">
      <items count="11">
        <item x="4"/>
        <item x="0"/>
        <item x="1"/>
        <item x="8"/>
        <item x="6"/>
        <item x="2"/>
        <item x="9"/>
        <item x="7"/>
        <item x="3"/>
        <item x="5"/>
        <item t="default"/>
      </items>
    </pivotField>
    <pivotField showAll="0">
      <items count="3">
        <item x="0"/>
        <item x="1"/>
        <item t="default"/>
      </items>
    </pivotField>
    <pivotField showAll="0">
      <items count="4">
        <item x="0"/>
        <item x="1"/>
        <item x="2"/>
        <item t="default"/>
      </items>
    </pivotField>
    <pivotField showAll="0"/>
    <pivotField axis="axisRow" showAll="0">
      <items count="7">
        <item x="5"/>
        <item x="3"/>
        <item x="2"/>
        <item x="0"/>
        <item x="1"/>
        <item x="4"/>
        <item t="default"/>
      </items>
    </pivotField>
    <pivotField showAll="0"/>
    <pivotField showAll="0"/>
    <pivotField showAll="0">
      <items count="3">
        <item x="0"/>
        <item x="1"/>
        <item t="default"/>
      </items>
    </pivotField>
    <pivotField axis="axisCol"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10"/>
  </colFields>
  <colItems count="5">
    <i>
      <x/>
    </i>
    <i>
      <x v="1"/>
    </i>
    <i>
      <x v="2"/>
    </i>
    <i>
      <x v="3"/>
    </i>
    <i t="grand">
      <x/>
    </i>
  </colItems>
  <dataFields count="1">
    <dataField name="Count of Employee ID" fld="0" subtotal="count" baseField="10" baseItem="0"/>
  </dataFields>
  <chartFormats count="14">
    <chartFormat chart="35" format="5" series="1">
      <pivotArea type="data" outline="0" fieldPosition="0">
        <references count="1">
          <reference field="10" count="1" selected="0">
            <x v="0"/>
          </reference>
        </references>
      </pivotArea>
    </chartFormat>
    <chartFormat chart="35" format="6" series="1">
      <pivotArea type="data" outline="0" fieldPosition="0">
        <references count="1">
          <reference field="10" count="1" selected="0">
            <x v="1"/>
          </reference>
        </references>
      </pivotArea>
    </chartFormat>
    <chartFormat chart="35" format="7" series="1">
      <pivotArea type="data" outline="0" fieldPosition="0">
        <references count="1">
          <reference field="10" count="1" selected="0">
            <x v="2"/>
          </reference>
        </references>
      </pivotArea>
    </chartFormat>
    <chartFormat chart="35" format="8" series="1">
      <pivotArea type="data" outline="0" fieldPosition="0">
        <references count="1">
          <reference field="10" count="1" selected="0">
            <x v="3"/>
          </reference>
        </references>
      </pivotArea>
    </chartFormat>
    <chartFormat chart="45" format="21" series="1">
      <pivotArea type="data" outline="0" fieldPosition="0">
        <references count="2">
          <reference field="4294967294" count="1" selected="0">
            <x v="0"/>
          </reference>
          <reference field="10" count="1" selected="0">
            <x v="0"/>
          </reference>
        </references>
      </pivotArea>
    </chartFormat>
    <chartFormat chart="45" format="22" series="1">
      <pivotArea type="data" outline="0" fieldPosition="0">
        <references count="2">
          <reference field="4294967294" count="1" selected="0">
            <x v="0"/>
          </reference>
          <reference field="10" count="1" selected="0">
            <x v="1"/>
          </reference>
        </references>
      </pivotArea>
    </chartFormat>
    <chartFormat chart="45" format="23" series="1">
      <pivotArea type="data" outline="0" fieldPosition="0">
        <references count="2">
          <reference field="4294967294" count="1" selected="0">
            <x v="0"/>
          </reference>
          <reference field="10" count="1" selected="0">
            <x v="2"/>
          </reference>
        </references>
      </pivotArea>
    </chartFormat>
    <chartFormat chart="45" format="24" series="1">
      <pivotArea type="data" outline="0" fieldPosition="0">
        <references count="2">
          <reference field="4294967294" count="1" selected="0">
            <x v="0"/>
          </reference>
          <reference field="10" count="1" selected="0">
            <x v="3"/>
          </reference>
        </references>
      </pivotArea>
    </chartFormat>
    <chartFormat chart="35" format="17" series="1">
      <pivotArea type="data" outline="0" fieldPosition="0">
        <references count="2">
          <reference field="4294967294" count="1" selected="0">
            <x v="0"/>
          </reference>
          <reference field="10" count="1" selected="0">
            <x v="3"/>
          </reference>
        </references>
      </pivotArea>
    </chartFormat>
    <chartFormat chart="35" format="18" series="1">
      <pivotArea type="data" outline="0" fieldPosition="0">
        <references count="2">
          <reference field="4294967294" count="1" selected="0">
            <x v="0"/>
          </reference>
          <reference field="10" count="1" selected="0">
            <x v="1"/>
          </reference>
        </references>
      </pivotArea>
    </chartFormat>
    <chartFormat chart="45" format="25" series="1">
      <pivotArea type="data" outline="0" fieldPosition="0">
        <references count="1">
          <reference field="4294967294" count="1" selected="0">
            <x v="0"/>
          </reference>
        </references>
      </pivotArea>
    </chartFormat>
    <chartFormat chart="35" format="19" series="1">
      <pivotArea type="data" outline="0" fieldPosition="0">
        <references count="1">
          <reference field="4294967294" count="1" selected="0">
            <x v="0"/>
          </reference>
        </references>
      </pivotArea>
    </chartFormat>
    <chartFormat chart="35" format="20" series="1">
      <pivotArea type="data" outline="0" fieldPosition="0">
        <references count="2">
          <reference field="4294967294" count="1" selected="0">
            <x v="0"/>
          </reference>
          <reference field="10" count="1" selected="0">
            <x v="2"/>
          </reference>
        </references>
      </pivotArea>
    </chartFormat>
    <chartFormat chart="35" format="21"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725043-129F-4060-BF80-F61EA60F6E43}" name="PivotTable7"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G2:H6" firstHeaderRow="1" firstDataRow="1" firstDataCol="1"/>
  <pivotFields count="22">
    <pivotField showAll="0"/>
    <pivotField numFmtId="15" showAll="0"/>
    <pivotField showAll="0">
      <items count="11">
        <item x="4"/>
        <item x="0"/>
        <item x="1"/>
        <item x="8"/>
        <item x="6"/>
        <item x="2"/>
        <item x="9"/>
        <item x="7"/>
        <item x="3"/>
        <item x="5"/>
        <item t="default"/>
      </items>
    </pivotField>
    <pivotField showAll="0">
      <items count="3">
        <item x="0"/>
        <item x="1"/>
        <item t="default"/>
      </items>
    </pivotField>
    <pivotField showAll="0">
      <items count="4">
        <item x="0"/>
        <item x="1"/>
        <item x="2"/>
        <item t="default"/>
      </items>
    </pivotField>
    <pivotField showAll="0"/>
    <pivotField showAll="0">
      <items count="7">
        <item x="5"/>
        <item x="3"/>
        <item x="2"/>
        <item x="0"/>
        <item x="1"/>
        <item x="4"/>
        <item t="default"/>
      </items>
    </pivotField>
    <pivotField showAll="0"/>
    <pivotField showAll="0"/>
    <pivotField showAll="0">
      <items count="3">
        <item x="0"/>
        <item x="1"/>
        <item t="default"/>
      </items>
    </pivotField>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s>
  <rowFields count="1">
    <field x="-2"/>
  </rowFields>
  <rowItems count="4">
    <i>
      <x/>
    </i>
    <i i="1">
      <x v="1"/>
    </i>
    <i i="2">
      <x v="2"/>
    </i>
    <i i="3">
      <x v="3"/>
    </i>
  </rowItems>
  <colItems count="1">
    <i/>
  </colItems>
  <dataFields count="4">
    <dataField name="Average of Training Duration(Days)" fld="14" subtotal="average" baseField="0" baseItem="1" numFmtId="164"/>
    <dataField name="Average of Training Cost" fld="15" subtotal="average" baseField="0" baseItem="0" numFmtId="165"/>
    <dataField name="Average of Engagement Score" fld="11" subtotal="average" baseField="0" baseItem="0" numFmtId="2"/>
    <dataField name="Average of Satisfaction Score"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E38C42-BA37-47D7-B4A8-13852647FD8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2:B35" firstHeaderRow="1" firstDataRow="1" firstDataCol="1"/>
  <pivotFields count="22">
    <pivotField dataField="1" showAll="0"/>
    <pivotField numFmtId="15" showAll="0"/>
    <pivotField showAll="0">
      <items count="11">
        <item x="4"/>
        <item x="0"/>
        <item x="1"/>
        <item x="8"/>
        <item x="6"/>
        <item x="2"/>
        <item x="9"/>
        <item x="7"/>
        <item x="3"/>
        <item x="5"/>
        <item t="default"/>
      </items>
    </pivotField>
    <pivotField showAll="0">
      <items count="3">
        <item x="0"/>
        <item x="1"/>
        <item t="default"/>
      </items>
    </pivotField>
    <pivotField showAll="0">
      <items count="4">
        <item x="0"/>
        <item x="1"/>
        <item x="2"/>
        <item t="default"/>
      </items>
    </pivotField>
    <pivotField showAll="0"/>
    <pivotField showAll="0">
      <items count="7">
        <item x="5"/>
        <item x="3"/>
        <item x="2"/>
        <item x="0"/>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Employee ID" fld="0" subtotal="count" baseField="3" baseItem="0"/>
  </dataFields>
  <chartFormats count="10">
    <chartFormat chart="1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9" count="1" selected="0">
            <x v="0"/>
          </reference>
        </references>
      </pivotArea>
    </chartFormat>
    <chartFormat chart="25" format="2">
      <pivotArea type="data" outline="0" fieldPosition="0">
        <references count="2">
          <reference field="4294967294" count="1" selected="0">
            <x v="0"/>
          </reference>
          <reference field="9" count="1" selected="0">
            <x v="1"/>
          </reference>
        </references>
      </pivotArea>
    </chartFormat>
    <chartFormat chart="31" format="3" series="1">
      <pivotArea type="data" outline="0" fieldPosition="0">
        <references count="1">
          <reference field="4294967294" count="1" selected="0">
            <x v="0"/>
          </reference>
        </references>
      </pivotArea>
    </chartFormat>
    <chartFormat chart="31" format="4">
      <pivotArea type="data" outline="0" fieldPosition="0">
        <references count="2">
          <reference field="4294967294" count="1" selected="0">
            <x v="0"/>
          </reference>
          <reference field="9" count="1" selected="0">
            <x v="0"/>
          </reference>
        </references>
      </pivotArea>
    </chartFormat>
    <chartFormat chart="31" format="5">
      <pivotArea type="data" outline="0" fieldPosition="0">
        <references count="2">
          <reference field="4294967294" count="1" selected="0">
            <x v="0"/>
          </reference>
          <reference field="9" count="1" selected="0">
            <x v="1"/>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9" count="1" selected="0">
            <x v="0"/>
          </reference>
        </references>
      </pivotArea>
    </chartFormat>
    <chartFormat chart="32"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ECDCA28F-7F7F-4C4B-A799-F01E0F8093F2}" sourceName="BusinessUnit">
  <pivotTables>
    <pivotTable tabId="7" name="PivotTable5"/>
    <pivotTable tabId="7" name="PivotTable1"/>
    <pivotTable tabId="7" name="PivotTable2"/>
    <pivotTable tabId="7" name="PivotTable3"/>
    <pivotTable tabId="7" name="PivotTable4"/>
    <pivotTable tabId="7" name="PivotTable6"/>
    <pivotTable tabId="7" name="PivotTable7"/>
  </pivotTables>
  <data>
    <tabular pivotCacheId="753357469">
      <items count="10">
        <i x="4" s="1"/>
        <i x="0" s="1"/>
        <i x="1" s="1"/>
        <i x="8" s="1"/>
        <i x="6" s="1"/>
        <i x="2" s="1"/>
        <i x="9" s="1"/>
        <i x="7"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549C56E9-22E0-40EF-9323-4B9F03C9BD9E}" sourceName="EmployeeType">
  <pivotTables>
    <pivotTable tabId="7" name="PivotTable5"/>
    <pivotTable tabId="7" name="PivotTable1"/>
    <pivotTable tabId="7" name="PivotTable2"/>
    <pivotTable tabId="7" name="PivotTable3"/>
    <pivotTable tabId="7" name="PivotTable4"/>
    <pivotTable tabId="7" name="PivotTable6"/>
    <pivotTable tabId="7" name="PivotTable7"/>
  </pivotTables>
  <data>
    <tabular pivotCacheId="75335746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616941B5-79F9-4733-A91D-219B01A6B363}" sourceName="DepartmentType">
  <pivotTables>
    <pivotTable tabId="7" name="PivotTable5"/>
    <pivotTable tabId="7" name="PivotTable1"/>
    <pivotTable tabId="7" name="PivotTable2"/>
    <pivotTable tabId="7" name="PivotTable3"/>
    <pivotTable tabId="7" name="PivotTable4"/>
    <pivotTable tabId="7" name="PivotTable6"/>
    <pivotTable tabId="7" name="PivotTable7"/>
  </pivotTables>
  <data>
    <tabular pivotCacheId="753357469">
      <items count="6">
        <i x="5" s="1"/>
        <i x="3"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BEDBFBCB-67A0-40CA-87A3-6060F3127B11}" sourceName="GenderCode">
  <pivotTables>
    <pivotTable tabId="7" name="PivotTable5"/>
    <pivotTable tabId="7" name="PivotTable1"/>
    <pivotTable tabId="7" name="PivotTable2"/>
    <pivotTable tabId="7" name="PivotTable3"/>
    <pivotTable tabId="7" name="PivotTable4"/>
    <pivotTable tabId="7" name="PivotTable6"/>
    <pivotTable tabId="7" name="PivotTable7"/>
  </pivotTables>
  <data>
    <tabular pivotCacheId="7533574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xr10:uid="{DC2782EE-E723-41C4-AF9C-844233D2549F}" cache="Slicer_BusinessUnit" caption="BusinessUnit" rowHeight="241300"/>
  <slicer name="EmployeeType" xr10:uid="{C4326F60-360F-476A-8B54-ABB6980E7208}" cache="Slicer_EmployeeType" caption="EmployeeType" rowHeight="241300"/>
  <slicer name="DepartmentType" xr10:uid="{75864C6F-83CD-409C-969C-329506D5E5C1}" cache="Slicer_DepartmentType" caption="DepartmentType" rowHeight="241300"/>
  <slicer name="GenderCode" xr10:uid="{99C7C6A0-7FFC-42D9-8D1B-808061C8CC17}" cache="Slicer_GenderCode" caption="GenderC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1" xr10:uid="{5D21EBE7-F18A-4F3B-8373-05A5BCE6E7A1}" cache="Slicer_BusinessUnit" caption="BusinessUnit" style="SlicerStyleOther2" rowHeight="241300"/>
  <slicer name="EmployeeType 1" xr10:uid="{34DD8870-7427-45F5-BD40-3B7DA51E4D89}" cache="Slicer_EmployeeType" caption="EmployeeType" style="SlicerStyleOther2" rowHeight="241300"/>
  <slicer name="DepartmentType 1" xr10:uid="{ED650335-9FB5-4AD7-A1FF-8E236AEFFC31}" cache="Slicer_DepartmentType" caption="DepartmentType" style="SlicerStyleOther2" rowHeight="241300"/>
  <slicer name="GenderCode 1" xr10:uid="{78013374-9C6F-4486-8582-1DF98F6DA3B8}" cache="Slicer_GenderCode" caption="GenderCode"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416746-8BCE-4459-A7C6-D01CE2870461}" name="Table1" displayName="Table1" ref="A1:V1000" totalsRowShown="0">
  <autoFilter ref="A1:V1000" xr:uid="{8A416746-8BCE-4459-A7C6-D01CE2870461}"/>
  <tableColumns count="22">
    <tableColumn id="1" xr3:uid="{F00F825F-F5ED-4E54-9A39-9624FA0D0A40}" name="Employee ID"/>
    <tableColumn id="2" xr3:uid="{0D244CBC-331D-4DB6-93B1-14FB6E676DB5}" name="StartDate" dataDxfId="4"/>
    <tableColumn id="3" xr3:uid="{96FDE5E1-BF09-48A0-A896-CFB7E501E065}" name="BusinessUnit"/>
    <tableColumn id="4" xr3:uid="{92583F7E-F8EB-4A9B-B5AA-5405F50AC717}" name="EmployeeStatus"/>
    <tableColumn id="5" xr3:uid="{D4866699-4045-46C6-877F-B029FF6FF074}" name="EmployeeType"/>
    <tableColumn id="6" xr3:uid="{B0C05EF7-C8F9-49E6-B1CB-B17BB9C92F90}" name="PayZone"/>
    <tableColumn id="7" xr3:uid="{6D3953B2-4312-4485-AB5A-134150D2341C}" name="DepartmentType"/>
    <tableColumn id="8" xr3:uid="{6B3E59A0-E9EA-458B-901C-3148A334F68F}" name="Division"/>
    <tableColumn id="9" xr3:uid="{86B24879-AB85-4847-9E88-09DBAD7B2569}" name="State"/>
    <tableColumn id="10" xr3:uid="{DA06498F-A03B-41BE-9148-CD5D64253DAE}" name="GenderCode"/>
    <tableColumn id="11" xr3:uid="{C524D72B-A84A-4A1F-A28A-345B467CA29A}" name="Performance Score"/>
    <tableColumn id="12" xr3:uid="{6D90ABC8-25A3-4019-95DC-23ED4B6F8E37}" name="Engagement Score"/>
    <tableColumn id="13" xr3:uid="{517563CF-88A1-4E7F-BFD9-44916F451D73}" name="Satisfaction Score"/>
    <tableColumn id="14" xr3:uid="{90B1C1E4-4286-4A62-9C16-58F77D767562}" name="Work-Life Balance Score"/>
    <tableColumn id="15" xr3:uid="{85D92991-DE49-4A47-8AFB-27BD240745E3}" name="Training Duration(Days)"/>
    <tableColumn id="16" xr3:uid="{ED70F2B6-F9F8-4F3D-AB9E-57EBA0543367}" name="Training Cost"/>
    <tableColumn id="17" xr3:uid="{F859B5CB-018A-42FF-8B63-4496526386B8}" name="Age"/>
    <tableColumn id="18" xr3:uid="{78346E3E-F627-4EB1-8C58-3004B18EC416}" name="Total Employee"/>
    <tableColumn id="19" xr3:uid="{D13CECFD-6D17-44F0-99E4-176C669FCE00}" name="Column1" dataDxfId="3">
      <calculatedColumnFormula>AVERAGE(P:P)-1</calculatedColumnFormula>
    </tableColumn>
    <tableColumn id="20" xr3:uid="{62027454-B4D7-47CE-BCAB-F06009C9F144}" name="Column2" dataDxfId="2">
      <calculatedColumnFormula>COUNTIF(D:D,"Inactive")</calculatedColumnFormula>
    </tableColumn>
    <tableColumn id="21" xr3:uid="{6FCEF8C3-07E5-4878-BEB7-C1B5491D6A0F}" name="Column3" dataDxfId="1">
      <calculatedColumnFormula>AVERAGE(L:L)-1</calculatedColumnFormula>
    </tableColumn>
    <tableColumn id="22" xr3:uid="{80892A80-3079-4FC6-B89B-DD2DE4D816DC}" name="Column4" dataDxfId="0">
      <calculatedColumnFormula>AVERAGE(P:P)-1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3F93-A923-4648-B1A9-F7EDE07DFEB9}">
  <dimension ref="A2:J35"/>
  <sheetViews>
    <sheetView workbookViewId="0">
      <selection activeCell="H3" sqref="H3"/>
    </sheetView>
  </sheetViews>
  <sheetFormatPr defaultRowHeight="15" x14ac:dyDescent="0.25"/>
  <cols>
    <col min="1" max="1" width="20.28515625" bestFit="1" customWidth="1"/>
    <col min="2" max="2" width="27.85546875" bestFit="1" customWidth="1"/>
    <col min="3" max="3" width="27.140625" bestFit="1" customWidth="1"/>
    <col min="4" max="4" width="13.140625" bestFit="1" customWidth="1"/>
    <col min="5" max="5" width="20.42578125" bestFit="1" customWidth="1"/>
    <col min="6" max="6" width="12.42578125" bestFit="1" customWidth="1"/>
    <col min="7" max="7" width="32.5703125" bestFit="1" customWidth="1"/>
    <col min="8" max="8" width="8.140625" bestFit="1" customWidth="1"/>
    <col min="9" max="9" width="3.85546875" bestFit="1" customWidth="1"/>
    <col min="10" max="10" width="11.28515625" bestFit="1" customWidth="1"/>
    <col min="11" max="11" width="19" bestFit="1" customWidth="1"/>
    <col min="12" max="16" width="20.28515625" bestFit="1" customWidth="1"/>
    <col min="17" max="17" width="16.42578125" bestFit="1" customWidth="1"/>
    <col min="18" max="21" width="21.42578125" bestFit="1" customWidth="1"/>
    <col min="22" max="22" width="24.5703125" bestFit="1" customWidth="1"/>
    <col min="23" max="26" width="15.5703125" bestFit="1" customWidth="1"/>
    <col min="27" max="27" width="8.7109375" bestFit="1" customWidth="1"/>
    <col min="28" max="28" width="11.28515625" bestFit="1" customWidth="1"/>
  </cols>
  <sheetData>
    <row r="2" spans="1:10" x14ac:dyDescent="0.25">
      <c r="G2" s="2" t="s">
        <v>95</v>
      </c>
    </row>
    <row r="3" spans="1:10" x14ac:dyDescent="0.25">
      <c r="A3" s="2" t="s">
        <v>85</v>
      </c>
      <c r="B3" t="s">
        <v>87</v>
      </c>
      <c r="D3" s="2" t="s">
        <v>85</v>
      </c>
      <c r="E3" t="s">
        <v>87</v>
      </c>
      <c r="G3" s="3" t="s">
        <v>94</v>
      </c>
      <c r="H3" s="4">
        <v>3.015015015015015</v>
      </c>
    </row>
    <row r="4" spans="1:10" x14ac:dyDescent="0.25">
      <c r="A4" s="3" t="s">
        <v>79</v>
      </c>
      <c r="B4" s="8">
        <v>61</v>
      </c>
      <c r="D4" s="3" t="s">
        <v>24</v>
      </c>
      <c r="E4" s="8">
        <v>546</v>
      </c>
      <c r="G4" s="3" t="s">
        <v>96</v>
      </c>
      <c r="H4" s="6">
        <v>558.6865165165168</v>
      </c>
    </row>
    <row r="5" spans="1:10" x14ac:dyDescent="0.25">
      <c r="A5" s="3" t="s">
        <v>76</v>
      </c>
      <c r="B5" s="8">
        <v>19</v>
      </c>
      <c r="D5" s="3" t="s">
        <v>30</v>
      </c>
      <c r="E5" s="8">
        <v>453</v>
      </c>
      <c r="G5" s="3" t="s">
        <v>92</v>
      </c>
      <c r="H5" s="5">
        <v>2.9139139139139139</v>
      </c>
    </row>
    <row r="6" spans="1:10" x14ac:dyDescent="0.25">
      <c r="A6" s="3" t="s">
        <v>61</v>
      </c>
      <c r="B6" s="8">
        <v>172</v>
      </c>
      <c r="D6" s="3" t="s">
        <v>86</v>
      </c>
      <c r="E6" s="8">
        <v>999</v>
      </c>
      <c r="G6" s="3" t="s">
        <v>93</v>
      </c>
      <c r="H6" s="5">
        <v>3.0220220220220222</v>
      </c>
    </row>
    <row r="7" spans="1:10" x14ac:dyDescent="0.25">
      <c r="A7" s="3" t="s">
        <v>21</v>
      </c>
      <c r="B7" s="8">
        <v>559</v>
      </c>
    </row>
    <row r="8" spans="1:10" x14ac:dyDescent="0.25">
      <c r="A8" s="3" t="s">
        <v>34</v>
      </c>
      <c r="B8" s="8">
        <v>104</v>
      </c>
      <c r="E8" s="2" t="s">
        <v>87</v>
      </c>
      <c r="F8" s="2" t="s">
        <v>91</v>
      </c>
    </row>
    <row r="9" spans="1:10" x14ac:dyDescent="0.25">
      <c r="A9" s="3" t="s">
        <v>78</v>
      </c>
      <c r="B9" s="8">
        <v>84</v>
      </c>
      <c r="E9" s="2" t="s">
        <v>85</v>
      </c>
      <c r="F9" t="s">
        <v>46</v>
      </c>
      <c r="G9" t="s">
        <v>25</v>
      </c>
      <c r="H9" t="s">
        <v>64</v>
      </c>
      <c r="I9" t="s">
        <v>72</v>
      </c>
      <c r="J9" t="s">
        <v>86</v>
      </c>
    </row>
    <row r="10" spans="1:10" x14ac:dyDescent="0.25">
      <c r="A10" s="3" t="s">
        <v>86</v>
      </c>
      <c r="B10" s="8">
        <v>999</v>
      </c>
      <c r="E10" s="3" t="s">
        <v>79</v>
      </c>
      <c r="F10" s="8">
        <v>16</v>
      </c>
      <c r="G10" s="8">
        <v>40</v>
      </c>
      <c r="H10" s="8"/>
      <c r="I10" s="8">
        <v>5</v>
      </c>
      <c r="J10" s="8">
        <v>61</v>
      </c>
    </row>
    <row r="11" spans="1:10" x14ac:dyDescent="0.25">
      <c r="E11" s="3" t="s">
        <v>76</v>
      </c>
      <c r="F11" s="8">
        <v>1</v>
      </c>
      <c r="G11" s="8">
        <v>12</v>
      </c>
      <c r="H11" s="8">
        <v>1</v>
      </c>
      <c r="I11" s="8">
        <v>5</v>
      </c>
      <c r="J11" s="8">
        <v>19</v>
      </c>
    </row>
    <row r="12" spans="1:10" x14ac:dyDescent="0.25">
      <c r="A12" s="2" t="s">
        <v>87</v>
      </c>
      <c r="B12" s="2" t="s">
        <v>91</v>
      </c>
      <c r="E12" s="3" t="s">
        <v>61</v>
      </c>
      <c r="F12" s="8">
        <v>17</v>
      </c>
      <c r="G12" s="8">
        <v>131</v>
      </c>
      <c r="H12" s="8">
        <v>10</v>
      </c>
      <c r="I12" s="8">
        <v>14</v>
      </c>
      <c r="J12" s="8">
        <v>172</v>
      </c>
    </row>
    <row r="13" spans="1:10" x14ac:dyDescent="0.25">
      <c r="A13" s="2" t="s">
        <v>85</v>
      </c>
      <c r="B13" t="s">
        <v>18</v>
      </c>
      <c r="C13" t="s">
        <v>84</v>
      </c>
      <c r="D13" t="s">
        <v>86</v>
      </c>
      <c r="E13" s="3" t="s">
        <v>21</v>
      </c>
      <c r="F13" s="8">
        <v>96</v>
      </c>
      <c r="G13" s="8">
        <v>410</v>
      </c>
      <c r="H13" s="8">
        <v>42</v>
      </c>
      <c r="I13" s="8">
        <v>11</v>
      </c>
      <c r="J13" s="8">
        <v>559</v>
      </c>
    </row>
    <row r="14" spans="1:10" x14ac:dyDescent="0.25">
      <c r="A14" s="3" t="s">
        <v>79</v>
      </c>
      <c r="B14" s="8">
        <v>61</v>
      </c>
      <c r="C14" s="8"/>
      <c r="D14" s="8">
        <v>61</v>
      </c>
      <c r="E14" s="3" t="s">
        <v>34</v>
      </c>
      <c r="F14" s="8">
        <v>17</v>
      </c>
      <c r="G14" s="8">
        <v>78</v>
      </c>
      <c r="H14" s="8">
        <v>9</v>
      </c>
      <c r="I14" s="8"/>
      <c r="J14" s="8">
        <v>104</v>
      </c>
    </row>
    <row r="15" spans="1:10" x14ac:dyDescent="0.25">
      <c r="A15" s="3" t="s">
        <v>76</v>
      </c>
      <c r="B15" s="8">
        <v>19</v>
      </c>
      <c r="C15" s="8"/>
      <c r="D15" s="8">
        <v>19</v>
      </c>
      <c r="E15" s="3" t="s">
        <v>78</v>
      </c>
      <c r="F15" s="8"/>
      <c r="G15" s="8">
        <v>84</v>
      </c>
      <c r="H15" s="8"/>
      <c r="I15" s="8"/>
      <c r="J15" s="8">
        <v>84</v>
      </c>
    </row>
    <row r="16" spans="1:10" x14ac:dyDescent="0.25">
      <c r="A16" s="3" t="s">
        <v>61</v>
      </c>
      <c r="B16" s="8">
        <v>157</v>
      </c>
      <c r="C16" s="8">
        <v>15</v>
      </c>
      <c r="D16" s="8">
        <v>172</v>
      </c>
      <c r="E16" s="3" t="s">
        <v>86</v>
      </c>
      <c r="F16" s="8">
        <v>147</v>
      </c>
      <c r="G16" s="8">
        <v>755</v>
      </c>
      <c r="H16" s="8">
        <v>62</v>
      </c>
      <c r="I16" s="8">
        <v>35</v>
      </c>
      <c r="J16" s="8">
        <v>999</v>
      </c>
    </row>
    <row r="17" spans="1:4" x14ac:dyDescent="0.25">
      <c r="A17" s="3" t="s">
        <v>21</v>
      </c>
      <c r="B17" s="8">
        <v>440</v>
      </c>
      <c r="C17" s="8">
        <v>119</v>
      </c>
      <c r="D17" s="8">
        <v>559</v>
      </c>
    </row>
    <row r="18" spans="1:4" x14ac:dyDescent="0.25">
      <c r="A18" s="3" t="s">
        <v>34</v>
      </c>
      <c r="B18" s="8">
        <v>104</v>
      </c>
      <c r="C18" s="8"/>
      <c r="D18" s="8">
        <v>104</v>
      </c>
    </row>
    <row r="19" spans="1:4" x14ac:dyDescent="0.25">
      <c r="A19" s="3" t="s">
        <v>78</v>
      </c>
      <c r="B19" s="8">
        <v>65</v>
      </c>
      <c r="C19" s="8">
        <v>19</v>
      </c>
      <c r="D19" s="8">
        <v>84</v>
      </c>
    </row>
    <row r="20" spans="1:4" x14ac:dyDescent="0.25">
      <c r="A20" s="3" t="s">
        <v>86</v>
      </c>
      <c r="B20" s="8">
        <v>846</v>
      </c>
      <c r="C20" s="8">
        <v>153</v>
      </c>
      <c r="D20" s="8">
        <v>999</v>
      </c>
    </row>
    <row r="22" spans="1:4" x14ac:dyDescent="0.25">
      <c r="A22" s="2" t="s">
        <v>85</v>
      </c>
      <c r="B22" t="s">
        <v>92</v>
      </c>
      <c r="C22" t="s">
        <v>93</v>
      </c>
    </row>
    <row r="23" spans="1:4" x14ac:dyDescent="0.25">
      <c r="A23" s="3" t="s">
        <v>79</v>
      </c>
      <c r="B23" s="8">
        <v>2.9344262295081966</v>
      </c>
      <c r="C23" s="8">
        <v>2.442622950819672</v>
      </c>
    </row>
    <row r="24" spans="1:4" x14ac:dyDescent="0.25">
      <c r="A24" s="3" t="s">
        <v>76</v>
      </c>
      <c r="B24" s="8">
        <v>3.5789473684210527</v>
      </c>
      <c r="C24" s="8">
        <v>3.1052631578947367</v>
      </c>
    </row>
    <row r="25" spans="1:4" x14ac:dyDescent="0.25">
      <c r="A25" s="3" t="s">
        <v>61</v>
      </c>
      <c r="B25" s="8">
        <v>3.1860465116279069</v>
      </c>
      <c r="C25" s="8">
        <v>3.0697674418604652</v>
      </c>
    </row>
    <row r="26" spans="1:4" x14ac:dyDescent="0.25">
      <c r="A26" s="3" t="s">
        <v>21</v>
      </c>
      <c r="B26" s="8">
        <v>2.7906976744186047</v>
      </c>
      <c r="C26" s="8">
        <v>3.0232558139534884</v>
      </c>
    </row>
    <row r="27" spans="1:4" x14ac:dyDescent="0.25">
      <c r="A27" s="3" t="s">
        <v>34</v>
      </c>
      <c r="B27" s="8">
        <v>2.9038461538461537</v>
      </c>
      <c r="C27" s="8">
        <v>3.25</v>
      </c>
    </row>
    <row r="28" spans="1:4" x14ac:dyDescent="0.25">
      <c r="A28" s="3" t="s">
        <v>78</v>
      </c>
      <c r="B28" s="8">
        <v>3.0238095238095237</v>
      </c>
      <c r="C28" s="8">
        <v>3.0357142857142856</v>
      </c>
    </row>
    <row r="29" spans="1:4" x14ac:dyDescent="0.25">
      <c r="A29" s="3" t="s">
        <v>86</v>
      </c>
      <c r="B29" s="8">
        <v>2.9139139139139139</v>
      </c>
      <c r="C29" s="8">
        <v>3.0220220220220222</v>
      </c>
    </row>
    <row r="32" spans="1:4" x14ac:dyDescent="0.25">
      <c r="A32" s="2" t="s">
        <v>85</v>
      </c>
      <c r="B32" t="s">
        <v>87</v>
      </c>
    </row>
    <row r="33" spans="1:2" x14ac:dyDescent="0.25">
      <c r="A33" s="3" t="s">
        <v>24</v>
      </c>
      <c r="B33" s="8">
        <v>546</v>
      </c>
    </row>
    <row r="34" spans="1:2" x14ac:dyDescent="0.25">
      <c r="A34" s="3" t="s">
        <v>30</v>
      </c>
      <c r="B34" s="8">
        <v>453</v>
      </c>
    </row>
    <row r="35" spans="1:2" x14ac:dyDescent="0.25">
      <c r="A35" s="3" t="s">
        <v>86</v>
      </c>
      <c r="B35" s="8">
        <v>999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945C3-DA89-4DD7-8EB1-2A9F24A9EE53}">
  <dimension ref="A1:V2812"/>
  <sheetViews>
    <sheetView workbookViewId="0">
      <selection activeCell="V8" sqref="V8"/>
    </sheetView>
  </sheetViews>
  <sheetFormatPr defaultRowHeight="15" x14ac:dyDescent="0.25"/>
  <cols>
    <col min="1" max="1" width="14.28515625" customWidth="1"/>
    <col min="2" max="2" width="11.42578125" customWidth="1"/>
    <col min="3" max="3" width="14.7109375" customWidth="1"/>
    <col min="4" max="4" width="17.42578125" customWidth="1"/>
    <col min="5" max="5" width="16.28515625" customWidth="1"/>
    <col min="6" max="6" width="10.7109375" customWidth="1"/>
    <col min="7" max="7" width="18.140625" customWidth="1"/>
    <col min="8" max="8" width="22.28515625" customWidth="1"/>
    <col min="10" max="10" width="14.42578125" customWidth="1"/>
    <col min="11" max="11" width="19.85546875" customWidth="1"/>
    <col min="12" max="12" width="21.5703125" customWidth="1"/>
    <col min="13" max="13" width="21.42578125" customWidth="1"/>
    <col min="14" max="14" width="24.5703125" customWidth="1"/>
    <col min="15" max="15" width="24" customWidth="1"/>
    <col min="16" max="16" width="14.7109375" customWidth="1"/>
    <col min="18" max="19" width="21.5703125" customWidth="1"/>
    <col min="20" max="20" width="21.42578125" customWidth="1"/>
    <col min="21" max="21" width="17" customWidth="1"/>
    <col min="22" max="22" width="19.42578125" customWidth="1"/>
    <col min="23" max="23" width="21.85546875" customWidth="1"/>
    <col min="24" max="24" width="14.7109375" customWidth="1"/>
    <col min="25" max="25" width="16" customWidth="1"/>
    <col min="26" max="26" width="14.28515625" customWidth="1"/>
    <col min="27" max="27" width="14.71093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83</v>
      </c>
      <c r="S1" t="s">
        <v>82</v>
      </c>
      <c r="T1" t="s">
        <v>88</v>
      </c>
      <c r="U1" t="s">
        <v>89</v>
      </c>
      <c r="V1" t="s">
        <v>90</v>
      </c>
    </row>
    <row r="2" spans="1:22" x14ac:dyDescent="0.25">
      <c r="A2">
        <v>3427</v>
      </c>
      <c r="B2" s="1">
        <v>43728</v>
      </c>
      <c r="C2" t="s">
        <v>17</v>
      </c>
      <c r="D2" t="s">
        <v>18</v>
      </c>
      <c r="E2" t="s">
        <v>19</v>
      </c>
      <c r="F2" t="s">
        <v>20</v>
      </c>
      <c r="G2" t="s">
        <v>21</v>
      </c>
      <c r="H2" t="s">
        <v>22</v>
      </c>
      <c r="I2" t="s">
        <v>23</v>
      </c>
      <c r="J2" t="s">
        <v>24</v>
      </c>
      <c r="K2" t="s">
        <v>25</v>
      </c>
      <c r="L2">
        <v>1</v>
      </c>
      <c r="M2">
        <v>2</v>
      </c>
      <c r="N2">
        <v>3</v>
      </c>
      <c r="O2">
        <v>2</v>
      </c>
      <c r="P2">
        <v>606.11</v>
      </c>
      <c r="Q2">
        <v>50</v>
      </c>
      <c r="R2">
        <f>COUNT(A:A)-1</f>
        <v>998</v>
      </c>
      <c r="S2">
        <f t="shared" ref="S2:S65" si="0">AVERAGE(P:P)-1</f>
        <v>557.6865165165168</v>
      </c>
      <c r="T2">
        <f t="shared" ref="T2:T65" si="1">COUNTIF(D:D,"Inactive")</f>
        <v>153</v>
      </c>
      <c r="U2">
        <f t="shared" ref="U2:U65" si="2">AVERAGE(L:L)-1</f>
        <v>1.9139139139139139</v>
      </c>
      <c r="V2">
        <f t="shared" ref="V2:V65" si="3">AVERAGE(P:P)-1</f>
        <v>557.6865165165168</v>
      </c>
    </row>
    <row r="3" spans="1:22" x14ac:dyDescent="0.25">
      <c r="A3">
        <v>3428</v>
      </c>
      <c r="B3" s="1">
        <v>44968</v>
      </c>
      <c r="C3" t="s">
        <v>26</v>
      </c>
      <c r="D3" t="s">
        <v>18</v>
      </c>
      <c r="E3" t="s">
        <v>19</v>
      </c>
      <c r="F3" t="s">
        <v>27</v>
      </c>
      <c r="G3" t="s">
        <v>21</v>
      </c>
      <c r="H3" t="s">
        <v>29</v>
      </c>
      <c r="I3" t="s">
        <v>23</v>
      </c>
      <c r="J3" t="s">
        <v>30</v>
      </c>
      <c r="K3" t="s">
        <v>25</v>
      </c>
      <c r="L3">
        <v>2</v>
      </c>
      <c r="M3">
        <v>1</v>
      </c>
      <c r="N3">
        <v>5</v>
      </c>
      <c r="O3">
        <v>4</v>
      </c>
      <c r="P3">
        <v>673.02</v>
      </c>
      <c r="Q3">
        <v>58</v>
      </c>
      <c r="S3">
        <f t="shared" si="0"/>
        <v>557.6865165165168</v>
      </c>
      <c r="T3">
        <f t="shared" si="1"/>
        <v>153</v>
      </c>
      <c r="U3">
        <f t="shared" si="2"/>
        <v>1.9139139139139139</v>
      </c>
      <c r="V3">
        <f t="shared" si="3"/>
        <v>557.6865165165168</v>
      </c>
    </row>
    <row r="4" spans="1:22" x14ac:dyDescent="0.25">
      <c r="A4">
        <v>3429</v>
      </c>
      <c r="B4" s="1">
        <v>43444</v>
      </c>
      <c r="C4" t="s">
        <v>31</v>
      </c>
      <c r="D4" t="s">
        <v>18</v>
      </c>
      <c r="E4" t="s">
        <v>32</v>
      </c>
      <c r="F4" t="s">
        <v>33</v>
      </c>
      <c r="G4" t="s">
        <v>34</v>
      </c>
      <c r="H4" t="s">
        <v>35</v>
      </c>
      <c r="I4" t="s">
        <v>23</v>
      </c>
      <c r="J4" t="s">
        <v>30</v>
      </c>
      <c r="K4" t="s">
        <v>25</v>
      </c>
      <c r="L4">
        <v>1</v>
      </c>
      <c r="M4">
        <v>2</v>
      </c>
      <c r="N4">
        <v>1</v>
      </c>
      <c r="O4">
        <v>2</v>
      </c>
      <c r="P4">
        <v>413.28</v>
      </c>
      <c r="Q4">
        <v>27</v>
      </c>
      <c r="S4">
        <f t="shared" si="0"/>
        <v>557.6865165165168</v>
      </c>
      <c r="T4">
        <f t="shared" si="1"/>
        <v>153</v>
      </c>
      <c r="U4">
        <f t="shared" si="2"/>
        <v>1.9139139139139139</v>
      </c>
      <c r="V4">
        <f t="shared" si="3"/>
        <v>557.6865165165168</v>
      </c>
    </row>
    <row r="5" spans="1:22" x14ac:dyDescent="0.25">
      <c r="A5">
        <v>3430</v>
      </c>
      <c r="B5" s="1">
        <v>44368</v>
      </c>
      <c r="C5" t="s">
        <v>17</v>
      </c>
      <c r="D5" t="s">
        <v>18</v>
      </c>
      <c r="E5" t="s">
        <v>19</v>
      </c>
      <c r="F5" t="s">
        <v>27</v>
      </c>
      <c r="G5" t="s">
        <v>34</v>
      </c>
      <c r="H5" t="s">
        <v>22</v>
      </c>
      <c r="I5" t="s">
        <v>36</v>
      </c>
      <c r="J5" t="s">
        <v>30</v>
      </c>
      <c r="K5" t="s">
        <v>25</v>
      </c>
      <c r="L5">
        <v>5</v>
      </c>
      <c r="M5">
        <v>5</v>
      </c>
      <c r="N5">
        <v>4</v>
      </c>
      <c r="O5">
        <v>3</v>
      </c>
      <c r="P5">
        <v>663.78</v>
      </c>
      <c r="Q5">
        <v>23</v>
      </c>
      <c r="S5">
        <f t="shared" si="0"/>
        <v>557.6865165165168</v>
      </c>
      <c r="T5">
        <f t="shared" si="1"/>
        <v>153</v>
      </c>
      <c r="U5">
        <f t="shared" si="2"/>
        <v>1.9139139139139139</v>
      </c>
      <c r="V5">
        <f t="shared" si="3"/>
        <v>557.6865165165168</v>
      </c>
    </row>
    <row r="6" spans="1:22" x14ac:dyDescent="0.25">
      <c r="A6">
        <v>3431</v>
      </c>
      <c r="B6" s="1">
        <v>43645</v>
      </c>
      <c r="C6" t="s">
        <v>37</v>
      </c>
      <c r="D6" t="s">
        <v>18</v>
      </c>
      <c r="E6" t="s">
        <v>19</v>
      </c>
      <c r="F6" t="s">
        <v>27</v>
      </c>
      <c r="G6" t="s">
        <v>34</v>
      </c>
      <c r="H6" t="s">
        <v>38</v>
      </c>
      <c r="I6" t="s">
        <v>39</v>
      </c>
      <c r="J6" t="s">
        <v>24</v>
      </c>
      <c r="K6" t="s">
        <v>25</v>
      </c>
      <c r="L6">
        <v>2</v>
      </c>
      <c r="M6">
        <v>5</v>
      </c>
      <c r="N6">
        <v>3</v>
      </c>
      <c r="O6">
        <v>5</v>
      </c>
      <c r="P6">
        <v>399.03</v>
      </c>
      <c r="Q6">
        <v>50</v>
      </c>
      <c r="S6">
        <f t="shared" si="0"/>
        <v>557.6865165165168</v>
      </c>
      <c r="T6">
        <f t="shared" si="1"/>
        <v>153</v>
      </c>
      <c r="U6">
        <f t="shared" si="2"/>
        <v>1.9139139139139139</v>
      </c>
      <c r="V6">
        <f t="shared" si="3"/>
        <v>557.6865165165168</v>
      </c>
    </row>
    <row r="7" spans="1:22" x14ac:dyDescent="0.25">
      <c r="A7">
        <v>3432</v>
      </c>
      <c r="B7" s="1">
        <v>43847</v>
      </c>
      <c r="C7" t="s">
        <v>40</v>
      </c>
      <c r="D7" t="s">
        <v>18</v>
      </c>
      <c r="E7" t="s">
        <v>19</v>
      </c>
      <c r="F7" t="s">
        <v>33</v>
      </c>
      <c r="G7" t="s">
        <v>34</v>
      </c>
      <c r="H7" t="s">
        <v>41</v>
      </c>
      <c r="I7" t="s">
        <v>42</v>
      </c>
      <c r="J7" t="s">
        <v>30</v>
      </c>
      <c r="K7" t="s">
        <v>25</v>
      </c>
      <c r="L7">
        <v>2</v>
      </c>
      <c r="M7">
        <v>3</v>
      </c>
      <c r="N7">
        <v>5</v>
      </c>
      <c r="O7">
        <v>2</v>
      </c>
      <c r="P7">
        <v>820.33</v>
      </c>
      <c r="Q7">
        <v>71</v>
      </c>
      <c r="S7">
        <f t="shared" si="0"/>
        <v>557.6865165165168</v>
      </c>
      <c r="T7">
        <f t="shared" si="1"/>
        <v>153</v>
      </c>
      <c r="U7">
        <f t="shared" si="2"/>
        <v>1.9139139139139139</v>
      </c>
      <c r="V7">
        <f t="shared" si="3"/>
        <v>557.6865165165168</v>
      </c>
    </row>
    <row r="8" spans="1:22" x14ac:dyDescent="0.25">
      <c r="A8">
        <v>3433</v>
      </c>
      <c r="B8" s="1">
        <v>44657</v>
      </c>
      <c r="C8" t="s">
        <v>43</v>
      </c>
      <c r="D8" t="s">
        <v>18</v>
      </c>
      <c r="E8" t="s">
        <v>32</v>
      </c>
      <c r="F8" t="s">
        <v>33</v>
      </c>
      <c r="G8" t="s">
        <v>34</v>
      </c>
      <c r="H8" t="s">
        <v>44</v>
      </c>
      <c r="I8" t="s">
        <v>45</v>
      </c>
      <c r="J8" t="s">
        <v>24</v>
      </c>
      <c r="K8" t="s">
        <v>46</v>
      </c>
      <c r="L8">
        <v>1</v>
      </c>
      <c r="M8">
        <v>5</v>
      </c>
      <c r="N8">
        <v>2</v>
      </c>
      <c r="O8">
        <v>5</v>
      </c>
      <c r="P8">
        <v>295.08</v>
      </c>
      <c r="Q8">
        <v>80</v>
      </c>
      <c r="S8">
        <f t="shared" si="0"/>
        <v>557.6865165165168</v>
      </c>
      <c r="T8">
        <f t="shared" si="1"/>
        <v>153</v>
      </c>
      <c r="U8">
        <f t="shared" si="2"/>
        <v>1.9139139139139139</v>
      </c>
      <c r="V8">
        <f t="shared" si="3"/>
        <v>557.6865165165168</v>
      </c>
    </row>
    <row r="9" spans="1:22" x14ac:dyDescent="0.25">
      <c r="A9">
        <v>3434</v>
      </c>
      <c r="B9" s="1">
        <v>44141</v>
      </c>
      <c r="C9" t="s">
        <v>17</v>
      </c>
      <c r="D9" t="s">
        <v>18</v>
      </c>
      <c r="E9" t="s">
        <v>19</v>
      </c>
      <c r="F9" t="s">
        <v>20</v>
      </c>
      <c r="G9" t="s">
        <v>34</v>
      </c>
      <c r="H9" t="s">
        <v>47</v>
      </c>
      <c r="I9" t="s">
        <v>48</v>
      </c>
      <c r="J9" t="s">
        <v>24</v>
      </c>
      <c r="K9" t="s">
        <v>25</v>
      </c>
      <c r="L9">
        <v>1</v>
      </c>
      <c r="M9">
        <v>4</v>
      </c>
      <c r="N9">
        <v>2</v>
      </c>
      <c r="O9">
        <v>3</v>
      </c>
      <c r="P9">
        <v>790.15</v>
      </c>
      <c r="Q9">
        <v>63</v>
      </c>
      <c r="S9">
        <f t="shared" si="0"/>
        <v>557.6865165165168</v>
      </c>
      <c r="T9">
        <f t="shared" si="1"/>
        <v>153</v>
      </c>
      <c r="U9">
        <f t="shared" si="2"/>
        <v>1.9139139139139139</v>
      </c>
      <c r="V9">
        <f t="shared" si="3"/>
        <v>557.6865165165168</v>
      </c>
    </row>
    <row r="10" spans="1:22" x14ac:dyDescent="0.25">
      <c r="A10">
        <v>3435</v>
      </c>
      <c r="B10" s="1">
        <v>43330</v>
      </c>
      <c r="C10" t="s">
        <v>49</v>
      </c>
      <c r="D10" t="s">
        <v>18</v>
      </c>
      <c r="E10" t="s">
        <v>19</v>
      </c>
      <c r="F10" t="s">
        <v>33</v>
      </c>
      <c r="G10" t="s">
        <v>34</v>
      </c>
      <c r="H10" t="s">
        <v>50</v>
      </c>
      <c r="I10" t="s">
        <v>51</v>
      </c>
      <c r="J10" t="s">
        <v>30</v>
      </c>
      <c r="K10" t="s">
        <v>46</v>
      </c>
      <c r="L10">
        <v>4</v>
      </c>
      <c r="M10">
        <v>3</v>
      </c>
      <c r="N10">
        <v>3</v>
      </c>
      <c r="O10">
        <v>3</v>
      </c>
      <c r="P10">
        <v>798.4</v>
      </c>
      <c r="Q10">
        <v>44</v>
      </c>
      <c r="S10">
        <f t="shared" si="0"/>
        <v>557.6865165165168</v>
      </c>
      <c r="T10">
        <f t="shared" si="1"/>
        <v>153</v>
      </c>
      <c r="U10">
        <f t="shared" si="2"/>
        <v>1.9139139139139139</v>
      </c>
      <c r="V10">
        <f t="shared" si="3"/>
        <v>557.6865165165168</v>
      </c>
    </row>
    <row r="11" spans="1:22" x14ac:dyDescent="0.25">
      <c r="A11">
        <v>3436</v>
      </c>
      <c r="B11" s="1">
        <v>44582</v>
      </c>
      <c r="C11" t="s">
        <v>40</v>
      </c>
      <c r="D11" t="s">
        <v>18</v>
      </c>
      <c r="E11" t="s">
        <v>28</v>
      </c>
      <c r="F11" t="s">
        <v>33</v>
      </c>
      <c r="G11" t="s">
        <v>34</v>
      </c>
      <c r="H11" t="s">
        <v>47</v>
      </c>
      <c r="I11" t="s">
        <v>51</v>
      </c>
      <c r="J11" t="s">
        <v>30</v>
      </c>
      <c r="K11" t="s">
        <v>25</v>
      </c>
      <c r="L11">
        <v>5</v>
      </c>
      <c r="M11">
        <v>5</v>
      </c>
      <c r="N11">
        <v>2</v>
      </c>
      <c r="O11">
        <v>5</v>
      </c>
      <c r="P11">
        <v>192.61</v>
      </c>
      <c r="Q11">
        <v>73</v>
      </c>
      <c r="S11">
        <f t="shared" si="0"/>
        <v>557.6865165165168</v>
      </c>
      <c r="T11">
        <f t="shared" si="1"/>
        <v>153</v>
      </c>
      <c r="U11">
        <f t="shared" si="2"/>
        <v>1.9139139139139139</v>
      </c>
      <c r="V11">
        <f t="shared" si="3"/>
        <v>557.6865165165168</v>
      </c>
    </row>
    <row r="12" spans="1:22" x14ac:dyDescent="0.25">
      <c r="A12">
        <v>3437</v>
      </c>
      <c r="B12" s="1">
        <v>45142</v>
      </c>
      <c r="C12" t="s">
        <v>52</v>
      </c>
      <c r="D12" t="s">
        <v>18</v>
      </c>
      <c r="E12" t="s">
        <v>19</v>
      </c>
      <c r="F12" t="s">
        <v>33</v>
      </c>
      <c r="G12" t="s">
        <v>34</v>
      </c>
      <c r="H12" t="s">
        <v>41</v>
      </c>
      <c r="I12" t="s">
        <v>53</v>
      </c>
      <c r="J12" t="s">
        <v>24</v>
      </c>
      <c r="K12" t="s">
        <v>25</v>
      </c>
      <c r="L12">
        <v>3</v>
      </c>
      <c r="M12">
        <v>2</v>
      </c>
      <c r="N12">
        <v>5</v>
      </c>
      <c r="O12">
        <v>1</v>
      </c>
      <c r="P12">
        <v>455.68</v>
      </c>
      <c r="Q12">
        <v>59</v>
      </c>
      <c r="S12">
        <f t="shared" si="0"/>
        <v>557.6865165165168</v>
      </c>
      <c r="T12">
        <f t="shared" si="1"/>
        <v>153</v>
      </c>
      <c r="U12">
        <f t="shared" si="2"/>
        <v>1.9139139139139139</v>
      </c>
      <c r="V12">
        <f t="shared" si="3"/>
        <v>557.6865165165168</v>
      </c>
    </row>
    <row r="13" spans="1:22" x14ac:dyDescent="0.25">
      <c r="A13">
        <v>3438</v>
      </c>
      <c r="B13" s="1">
        <v>43322</v>
      </c>
      <c r="C13" t="s">
        <v>54</v>
      </c>
      <c r="D13" t="s">
        <v>18</v>
      </c>
      <c r="E13" t="s">
        <v>32</v>
      </c>
      <c r="F13" t="s">
        <v>20</v>
      </c>
      <c r="G13" t="s">
        <v>34</v>
      </c>
      <c r="H13" t="s">
        <v>38</v>
      </c>
      <c r="I13" t="s">
        <v>55</v>
      </c>
      <c r="J13" t="s">
        <v>24</v>
      </c>
      <c r="K13" t="s">
        <v>25</v>
      </c>
      <c r="L13">
        <v>4</v>
      </c>
      <c r="M13">
        <v>2</v>
      </c>
      <c r="N13">
        <v>5</v>
      </c>
      <c r="O13">
        <v>2</v>
      </c>
      <c r="P13">
        <v>208.17</v>
      </c>
      <c r="Q13">
        <v>70</v>
      </c>
      <c r="S13">
        <f t="shared" si="0"/>
        <v>557.6865165165168</v>
      </c>
      <c r="T13">
        <f t="shared" si="1"/>
        <v>153</v>
      </c>
      <c r="U13">
        <f t="shared" si="2"/>
        <v>1.9139139139139139</v>
      </c>
      <c r="V13">
        <f t="shared" si="3"/>
        <v>557.6865165165168</v>
      </c>
    </row>
    <row r="14" spans="1:22" x14ac:dyDescent="0.25">
      <c r="A14">
        <v>3439</v>
      </c>
      <c r="B14" s="1">
        <v>44706</v>
      </c>
      <c r="C14" t="s">
        <v>26</v>
      </c>
      <c r="D14" t="s">
        <v>18</v>
      </c>
      <c r="E14" t="s">
        <v>32</v>
      </c>
      <c r="F14" t="s">
        <v>27</v>
      </c>
      <c r="G14" t="s">
        <v>34</v>
      </c>
      <c r="H14" t="s">
        <v>56</v>
      </c>
      <c r="I14" t="s">
        <v>57</v>
      </c>
      <c r="J14" t="s">
        <v>30</v>
      </c>
      <c r="K14" t="s">
        <v>25</v>
      </c>
      <c r="L14">
        <v>1</v>
      </c>
      <c r="M14">
        <v>2</v>
      </c>
      <c r="N14">
        <v>5</v>
      </c>
      <c r="O14">
        <v>1</v>
      </c>
      <c r="P14">
        <v>421.07</v>
      </c>
      <c r="Q14">
        <v>41</v>
      </c>
      <c r="S14">
        <f t="shared" si="0"/>
        <v>557.6865165165168</v>
      </c>
      <c r="T14">
        <f t="shared" si="1"/>
        <v>153</v>
      </c>
      <c r="U14">
        <f t="shared" si="2"/>
        <v>1.9139139139139139</v>
      </c>
      <c r="V14">
        <f t="shared" si="3"/>
        <v>557.6865165165168</v>
      </c>
    </row>
    <row r="15" spans="1:22" x14ac:dyDescent="0.25">
      <c r="A15">
        <v>3440</v>
      </c>
      <c r="B15" s="1">
        <v>43804</v>
      </c>
      <c r="C15" t="s">
        <v>17</v>
      </c>
      <c r="D15" t="s">
        <v>18</v>
      </c>
      <c r="E15" t="s">
        <v>19</v>
      </c>
      <c r="F15" t="s">
        <v>27</v>
      </c>
      <c r="G15" t="s">
        <v>34</v>
      </c>
      <c r="H15" t="s">
        <v>22</v>
      </c>
      <c r="I15" t="s">
        <v>58</v>
      </c>
      <c r="J15" t="s">
        <v>24</v>
      </c>
      <c r="K15" t="s">
        <v>25</v>
      </c>
      <c r="L15">
        <v>1</v>
      </c>
      <c r="M15">
        <v>4</v>
      </c>
      <c r="N15">
        <v>5</v>
      </c>
      <c r="O15">
        <v>1</v>
      </c>
      <c r="P15">
        <v>649.03</v>
      </c>
      <c r="Q15">
        <v>68</v>
      </c>
      <c r="S15">
        <f t="shared" si="0"/>
        <v>557.6865165165168</v>
      </c>
      <c r="T15">
        <f t="shared" si="1"/>
        <v>153</v>
      </c>
      <c r="U15">
        <f t="shared" si="2"/>
        <v>1.9139139139139139</v>
      </c>
      <c r="V15">
        <f t="shared" si="3"/>
        <v>557.6865165165168</v>
      </c>
    </row>
    <row r="16" spans="1:22" x14ac:dyDescent="0.25">
      <c r="A16">
        <v>3441</v>
      </c>
      <c r="B16" s="1">
        <v>43583</v>
      </c>
      <c r="C16" t="s">
        <v>40</v>
      </c>
      <c r="D16" t="s">
        <v>18</v>
      </c>
      <c r="E16" t="s">
        <v>28</v>
      </c>
      <c r="F16" t="s">
        <v>27</v>
      </c>
      <c r="G16" t="s">
        <v>34</v>
      </c>
      <c r="H16" t="s">
        <v>38</v>
      </c>
      <c r="I16" t="s">
        <v>59</v>
      </c>
      <c r="J16" t="s">
        <v>30</v>
      </c>
      <c r="K16" t="s">
        <v>46</v>
      </c>
      <c r="L16">
        <v>4</v>
      </c>
      <c r="M16">
        <v>2</v>
      </c>
      <c r="N16">
        <v>5</v>
      </c>
      <c r="O16">
        <v>4</v>
      </c>
      <c r="P16">
        <v>450.2</v>
      </c>
      <c r="Q16">
        <v>30</v>
      </c>
      <c r="S16">
        <f t="shared" si="0"/>
        <v>557.6865165165168</v>
      </c>
      <c r="T16">
        <f t="shared" si="1"/>
        <v>153</v>
      </c>
      <c r="U16">
        <f t="shared" si="2"/>
        <v>1.9139139139139139</v>
      </c>
      <c r="V16">
        <f t="shared" si="3"/>
        <v>557.6865165165168</v>
      </c>
    </row>
    <row r="17" spans="1:22" x14ac:dyDescent="0.25">
      <c r="A17">
        <v>3442</v>
      </c>
      <c r="B17" s="1">
        <v>43655</v>
      </c>
      <c r="C17" t="s">
        <v>60</v>
      </c>
      <c r="D17" t="s">
        <v>18</v>
      </c>
      <c r="E17" t="s">
        <v>32</v>
      </c>
      <c r="F17" t="s">
        <v>27</v>
      </c>
      <c r="G17" t="s">
        <v>61</v>
      </c>
      <c r="H17" t="s">
        <v>41</v>
      </c>
      <c r="I17" t="s">
        <v>23</v>
      </c>
      <c r="J17" t="s">
        <v>30</v>
      </c>
      <c r="K17" t="s">
        <v>46</v>
      </c>
      <c r="L17">
        <v>2</v>
      </c>
      <c r="M17">
        <v>5</v>
      </c>
      <c r="N17">
        <v>3</v>
      </c>
      <c r="O17">
        <v>4</v>
      </c>
      <c r="P17">
        <v>286.87</v>
      </c>
      <c r="Q17">
        <v>67</v>
      </c>
      <c r="S17">
        <f t="shared" si="0"/>
        <v>557.6865165165168</v>
      </c>
      <c r="T17">
        <f t="shared" si="1"/>
        <v>153</v>
      </c>
      <c r="U17">
        <f t="shared" si="2"/>
        <v>1.9139139139139139</v>
      </c>
      <c r="V17">
        <f t="shared" si="3"/>
        <v>557.6865165165168</v>
      </c>
    </row>
    <row r="18" spans="1:22" x14ac:dyDescent="0.25">
      <c r="A18">
        <v>3443</v>
      </c>
      <c r="B18" s="1">
        <v>44291</v>
      </c>
      <c r="C18" t="s">
        <v>43</v>
      </c>
      <c r="D18" t="s">
        <v>18</v>
      </c>
      <c r="E18" t="s">
        <v>32</v>
      </c>
      <c r="F18" t="s">
        <v>20</v>
      </c>
      <c r="G18" t="s">
        <v>61</v>
      </c>
      <c r="H18" t="s">
        <v>62</v>
      </c>
      <c r="I18" t="s">
        <v>58</v>
      </c>
      <c r="J18" t="s">
        <v>30</v>
      </c>
      <c r="K18" t="s">
        <v>25</v>
      </c>
      <c r="L18">
        <v>2</v>
      </c>
      <c r="M18">
        <v>2</v>
      </c>
      <c r="N18">
        <v>4</v>
      </c>
      <c r="O18">
        <v>3</v>
      </c>
      <c r="P18">
        <v>402.13</v>
      </c>
      <c r="Q18">
        <v>27</v>
      </c>
      <c r="S18">
        <f t="shared" si="0"/>
        <v>557.6865165165168</v>
      </c>
      <c r="T18">
        <f t="shared" si="1"/>
        <v>153</v>
      </c>
      <c r="U18">
        <f t="shared" si="2"/>
        <v>1.9139139139139139</v>
      </c>
      <c r="V18">
        <f t="shared" si="3"/>
        <v>557.6865165165168</v>
      </c>
    </row>
    <row r="19" spans="1:22" x14ac:dyDescent="0.25">
      <c r="A19">
        <v>3444</v>
      </c>
      <c r="B19" s="1">
        <v>44528</v>
      </c>
      <c r="C19" t="s">
        <v>49</v>
      </c>
      <c r="D19" t="s">
        <v>18</v>
      </c>
      <c r="E19" t="s">
        <v>19</v>
      </c>
      <c r="F19" t="s">
        <v>27</v>
      </c>
      <c r="G19" t="s">
        <v>34</v>
      </c>
      <c r="H19" t="s">
        <v>47</v>
      </c>
      <c r="I19" t="s">
        <v>58</v>
      </c>
      <c r="J19" t="s">
        <v>30</v>
      </c>
      <c r="K19" t="s">
        <v>25</v>
      </c>
      <c r="L19">
        <v>1</v>
      </c>
      <c r="M19">
        <v>2</v>
      </c>
      <c r="N19">
        <v>4</v>
      </c>
      <c r="O19">
        <v>2</v>
      </c>
      <c r="P19">
        <v>388.84</v>
      </c>
      <c r="Q19">
        <v>38</v>
      </c>
      <c r="S19">
        <f t="shared" si="0"/>
        <v>557.6865165165168</v>
      </c>
      <c r="T19">
        <f t="shared" si="1"/>
        <v>153</v>
      </c>
      <c r="U19">
        <f t="shared" si="2"/>
        <v>1.9139139139139139</v>
      </c>
      <c r="V19">
        <f t="shared" si="3"/>
        <v>557.6865165165168</v>
      </c>
    </row>
    <row r="20" spans="1:22" x14ac:dyDescent="0.25">
      <c r="A20">
        <v>3445</v>
      </c>
      <c r="B20" s="1">
        <v>44212</v>
      </c>
      <c r="C20" t="s">
        <v>31</v>
      </c>
      <c r="D20" t="s">
        <v>18</v>
      </c>
      <c r="E20" t="s">
        <v>19</v>
      </c>
      <c r="F20" t="s">
        <v>20</v>
      </c>
      <c r="G20" t="s">
        <v>34</v>
      </c>
      <c r="H20" t="s">
        <v>62</v>
      </c>
      <c r="I20" t="s">
        <v>58</v>
      </c>
      <c r="J20" t="s">
        <v>24</v>
      </c>
      <c r="K20" t="s">
        <v>46</v>
      </c>
      <c r="L20">
        <v>4</v>
      </c>
      <c r="M20">
        <v>5</v>
      </c>
      <c r="N20">
        <v>2</v>
      </c>
      <c r="O20">
        <v>2</v>
      </c>
      <c r="P20">
        <v>879.64</v>
      </c>
      <c r="Q20">
        <v>36</v>
      </c>
      <c r="S20">
        <f t="shared" si="0"/>
        <v>557.6865165165168</v>
      </c>
      <c r="T20">
        <f t="shared" si="1"/>
        <v>153</v>
      </c>
      <c r="U20">
        <f t="shared" si="2"/>
        <v>1.9139139139139139</v>
      </c>
      <c r="V20">
        <f t="shared" si="3"/>
        <v>557.6865165165168</v>
      </c>
    </row>
    <row r="21" spans="1:22" x14ac:dyDescent="0.25">
      <c r="A21">
        <v>3446</v>
      </c>
      <c r="B21" s="1">
        <v>44432</v>
      </c>
      <c r="C21" t="s">
        <v>40</v>
      </c>
      <c r="D21" t="s">
        <v>18</v>
      </c>
      <c r="E21" t="s">
        <v>28</v>
      </c>
      <c r="F21" t="s">
        <v>27</v>
      </c>
      <c r="G21" t="s">
        <v>34</v>
      </c>
      <c r="H21" t="s">
        <v>41</v>
      </c>
      <c r="I21" t="s">
        <v>51</v>
      </c>
      <c r="J21" t="s">
        <v>24</v>
      </c>
      <c r="K21" t="s">
        <v>46</v>
      </c>
      <c r="L21">
        <v>4</v>
      </c>
      <c r="M21">
        <v>3</v>
      </c>
      <c r="N21">
        <v>5</v>
      </c>
      <c r="O21">
        <v>5</v>
      </c>
      <c r="P21">
        <v>701.13</v>
      </c>
      <c r="Q21">
        <v>25</v>
      </c>
      <c r="S21">
        <f t="shared" si="0"/>
        <v>557.6865165165168</v>
      </c>
      <c r="T21">
        <f t="shared" si="1"/>
        <v>153</v>
      </c>
      <c r="U21">
        <f t="shared" si="2"/>
        <v>1.9139139139139139</v>
      </c>
      <c r="V21">
        <f t="shared" si="3"/>
        <v>557.6865165165168</v>
      </c>
    </row>
    <row r="22" spans="1:22" x14ac:dyDescent="0.25">
      <c r="A22">
        <v>3450</v>
      </c>
      <c r="B22" s="1">
        <v>44075</v>
      </c>
      <c r="C22" t="s">
        <v>54</v>
      </c>
      <c r="D22" t="s">
        <v>18</v>
      </c>
      <c r="E22" t="s">
        <v>19</v>
      </c>
      <c r="F22" t="s">
        <v>20</v>
      </c>
      <c r="G22" t="s">
        <v>34</v>
      </c>
      <c r="H22" t="s">
        <v>41</v>
      </c>
      <c r="I22" t="s">
        <v>57</v>
      </c>
      <c r="J22" t="s">
        <v>30</v>
      </c>
      <c r="K22" t="s">
        <v>46</v>
      </c>
      <c r="L22">
        <v>4</v>
      </c>
      <c r="M22">
        <v>3</v>
      </c>
      <c r="N22">
        <v>5</v>
      </c>
      <c r="O22">
        <v>4</v>
      </c>
      <c r="P22">
        <v>186.07</v>
      </c>
      <c r="Q22">
        <v>26</v>
      </c>
      <c r="S22">
        <f t="shared" si="0"/>
        <v>557.6865165165168</v>
      </c>
      <c r="T22">
        <f t="shared" si="1"/>
        <v>153</v>
      </c>
      <c r="U22">
        <f t="shared" si="2"/>
        <v>1.9139139139139139</v>
      </c>
      <c r="V22">
        <f t="shared" si="3"/>
        <v>557.6865165165168</v>
      </c>
    </row>
    <row r="23" spans="1:22" x14ac:dyDescent="0.25">
      <c r="A23">
        <v>3451</v>
      </c>
      <c r="B23" s="1">
        <v>44245</v>
      </c>
      <c r="C23" t="s">
        <v>37</v>
      </c>
      <c r="D23" t="s">
        <v>18</v>
      </c>
      <c r="E23" t="s">
        <v>19</v>
      </c>
      <c r="F23" t="s">
        <v>20</v>
      </c>
      <c r="G23" t="s">
        <v>34</v>
      </c>
      <c r="H23" t="s">
        <v>38</v>
      </c>
      <c r="I23" t="s">
        <v>57</v>
      </c>
      <c r="J23" t="s">
        <v>30</v>
      </c>
      <c r="K23" t="s">
        <v>46</v>
      </c>
      <c r="L23">
        <v>5</v>
      </c>
      <c r="M23">
        <v>1</v>
      </c>
      <c r="N23">
        <v>2</v>
      </c>
      <c r="O23">
        <v>1</v>
      </c>
      <c r="P23">
        <v>921.97</v>
      </c>
      <c r="Q23">
        <v>53</v>
      </c>
      <c r="S23">
        <f t="shared" si="0"/>
        <v>557.6865165165168</v>
      </c>
      <c r="T23">
        <f t="shared" si="1"/>
        <v>153</v>
      </c>
      <c r="U23">
        <f t="shared" si="2"/>
        <v>1.9139139139139139</v>
      </c>
      <c r="V23">
        <f t="shared" si="3"/>
        <v>557.6865165165168</v>
      </c>
    </row>
    <row r="24" spans="1:22" x14ac:dyDescent="0.25">
      <c r="A24">
        <v>3452</v>
      </c>
      <c r="B24" s="1">
        <v>44873</v>
      </c>
      <c r="C24" t="s">
        <v>60</v>
      </c>
      <c r="D24" t="s">
        <v>18</v>
      </c>
      <c r="E24" t="s">
        <v>28</v>
      </c>
      <c r="F24" t="s">
        <v>27</v>
      </c>
      <c r="G24" t="s">
        <v>34</v>
      </c>
      <c r="H24" t="s">
        <v>38</v>
      </c>
      <c r="I24" t="s">
        <v>53</v>
      </c>
      <c r="J24" t="s">
        <v>30</v>
      </c>
      <c r="K24" t="s">
        <v>25</v>
      </c>
      <c r="L24">
        <v>5</v>
      </c>
      <c r="M24">
        <v>5</v>
      </c>
      <c r="N24">
        <v>2</v>
      </c>
      <c r="O24">
        <v>1</v>
      </c>
      <c r="P24">
        <v>691.04</v>
      </c>
      <c r="Q24">
        <v>75</v>
      </c>
      <c r="S24">
        <f t="shared" si="0"/>
        <v>557.6865165165168</v>
      </c>
      <c r="T24">
        <f t="shared" si="1"/>
        <v>153</v>
      </c>
      <c r="U24">
        <f t="shared" si="2"/>
        <v>1.9139139139139139</v>
      </c>
      <c r="V24">
        <f t="shared" si="3"/>
        <v>557.6865165165168</v>
      </c>
    </row>
    <row r="25" spans="1:22" x14ac:dyDescent="0.25">
      <c r="A25">
        <v>3453</v>
      </c>
      <c r="B25" s="1">
        <v>44847</v>
      </c>
      <c r="C25" t="s">
        <v>43</v>
      </c>
      <c r="D25" t="s">
        <v>18</v>
      </c>
      <c r="E25" t="s">
        <v>19</v>
      </c>
      <c r="F25" t="s">
        <v>20</v>
      </c>
      <c r="G25" t="s">
        <v>34</v>
      </c>
      <c r="H25" t="s">
        <v>63</v>
      </c>
      <c r="I25" t="s">
        <v>23</v>
      </c>
      <c r="J25" t="s">
        <v>30</v>
      </c>
      <c r="K25" t="s">
        <v>25</v>
      </c>
      <c r="L25">
        <v>5</v>
      </c>
      <c r="M25">
        <v>5</v>
      </c>
      <c r="N25">
        <v>3</v>
      </c>
      <c r="O25">
        <v>5</v>
      </c>
      <c r="P25">
        <v>964.44</v>
      </c>
      <c r="Q25">
        <v>40</v>
      </c>
      <c r="S25">
        <f t="shared" si="0"/>
        <v>557.6865165165168</v>
      </c>
      <c r="T25">
        <f t="shared" si="1"/>
        <v>153</v>
      </c>
      <c r="U25">
        <f t="shared" si="2"/>
        <v>1.9139139139139139</v>
      </c>
      <c r="V25">
        <f t="shared" si="3"/>
        <v>557.6865165165168</v>
      </c>
    </row>
    <row r="26" spans="1:22" x14ac:dyDescent="0.25">
      <c r="A26">
        <v>3454</v>
      </c>
      <c r="B26" s="1">
        <v>44815</v>
      </c>
      <c r="C26" t="s">
        <v>60</v>
      </c>
      <c r="D26" t="s">
        <v>18</v>
      </c>
      <c r="E26" t="s">
        <v>32</v>
      </c>
      <c r="F26" t="s">
        <v>20</v>
      </c>
      <c r="G26" t="s">
        <v>61</v>
      </c>
      <c r="H26" t="s">
        <v>38</v>
      </c>
      <c r="I26" t="s">
        <v>58</v>
      </c>
      <c r="J26" t="s">
        <v>30</v>
      </c>
      <c r="K26" t="s">
        <v>64</v>
      </c>
      <c r="L26">
        <v>4</v>
      </c>
      <c r="M26">
        <v>4</v>
      </c>
      <c r="N26">
        <v>2</v>
      </c>
      <c r="O26">
        <v>3</v>
      </c>
      <c r="P26">
        <v>184.9</v>
      </c>
      <c r="Q26">
        <v>52</v>
      </c>
      <c r="S26">
        <f t="shared" si="0"/>
        <v>557.6865165165168</v>
      </c>
      <c r="T26">
        <f t="shared" si="1"/>
        <v>153</v>
      </c>
      <c r="U26">
        <f t="shared" si="2"/>
        <v>1.9139139139139139</v>
      </c>
      <c r="V26">
        <f t="shared" si="3"/>
        <v>557.6865165165168</v>
      </c>
    </row>
    <row r="27" spans="1:22" x14ac:dyDescent="0.25">
      <c r="A27">
        <v>3455</v>
      </c>
      <c r="B27" s="1">
        <v>44376</v>
      </c>
      <c r="C27" t="s">
        <v>43</v>
      </c>
      <c r="D27" t="s">
        <v>18</v>
      </c>
      <c r="E27" t="s">
        <v>32</v>
      </c>
      <c r="F27" t="s">
        <v>20</v>
      </c>
      <c r="G27" t="s">
        <v>34</v>
      </c>
      <c r="H27" t="s">
        <v>65</v>
      </c>
      <c r="I27" t="s">
        <v>58</v>
      </c>
      <c r="J27" t="s">
        <v>30</v>
      </c>
      <c r="K27" t="s">
        <v>46</v>
      </c>
      <c r="L27">
        <v>2</v>
      </c>
      <c r="M27">
        <v>1</v>
      </c>
      <c r="N27">
        <v>1</v>
      </c>
      <c r="O27">
        <v>1</v>
      </c>
      <c r="P27">
        <v>220.41</v>
      </c>
      <c r="Q27">
        <v>22</v>
      </c>
      <c r="S27">
        <f t="shared" si="0"/>
        <v>557.6865165165168</v>
      </c>
      <c r="T27">
        <f t="shared" si="1"/>
        <v>153</v>
      </c>
      <c r="U27">
        <f t="shared" si="2"/>
        <v>1.9139139139139139</v>
      </c>
      <c r="V27">
        <f t="shared" si="3"/>
        <v>557.6865165165168</v>
      </c>
    </row>
    <row r="28" spans="1:22" x14ac:dyDescent="0.25">
      <c r="A28">
        <v>3456</v>
      </c>
      <c r="B28" s="1">
        <v>44991</v>
      </c>
      <c r="C28" t="s">
        <v>49</v>
      </c>
      <c r="D28" t="s">
        <v>18</v>
      </c>
      <c r="E28" t="s">
        <v>32</v>
      </c>
      <c r="F28" t="s">
        <v>27</v>
      </c>
      <c r="G28" t="s">
        <v>34</v>
      </c>
      <c r="H28" t="s">
        <v>41</v>
      </c>
      <c r="I28" t="s">
        <v>58</v>
      </c>
      <c r="J28" t="s">
        <v>24</v>
      </c>
      <c r="K28" t="s">
        <v>25</v>
      </c>
      <c r="L28">
        <v>4</v>
      </c>
      <c r="M28">
        <v>3</v>
      </c>
      <c r="N28">
        <v>4</v>
      </c>
      <c r="O28">
        <v>2</v>
      </c>
      <c r="P28">
        <v>336.82</v>
      </c>
      <c r="Q28">
        <v>77</v>
      </c>
      <c r="S28">
        <f t="shared" si="0"/>
        <v>557.6865165165168</v>
      </c>
      <c r="T28">
        <f t="shared" si="1"/>
        <v>153</v>
      </c>
      <c r="U28">
        <f t="shared" si="2"/>
        <v>1.9139139139139139</v>
      </c>
      <c r="V28">
        <f t="shared" si="3"/>
        <v>557.6865165165168</v>
      </c>
    </row>
    <row r="29" spans="1:22" x14ac:dyDescent="0.25">
      <c r="A29">
        <v>3457</v>
      </c>
      <c r="B29" s="1">
        <v>44099</v>
      </c>
      <c r="C29" t="s">
        <v>31</v>
      </c>
      <c r="D29" t="s">
        <v>18</v>
      </c>
      <c r="E29" t="s">
        <v>32</v>
      </c>
      <c r="F29" t="s">
        <v>33</v>
      </c>
      <c r="G29" t="s">
        <v>34</v>
      </c>
      <c r="H29" t="s">
        <v>47</v>
      </c>
      <c r="I29" t="s">
        <v>58</v>
      </c>
      <c r="J29" t="s">
        <v>24</v>
      </c>
      <c r="K29" t="s">
        <v>64</v>
      </c>
      <c r="L29">
        <v>5</v>
      </c>
      <c r="M29">
        <v>1</v>
      </c>
      <c r="N29">
        <v>4</v>
      </c>
      <c r="O29">
        <v>4</v>
      </c>
      <c r="P29">
        <v>485.73</v>
      </c>
      <c r="Q29">
        <v>73</v>
      </c>
      <c r="S29">
        <f t="shared" si="0"/>
        <v>557.6865165165168</v>
      </c>
      <c r="T29">
        <f t="shared" si="1"/>
        <v>153</v>
      </c>
      <c r="U29">
        <f t="shared" si="2"/>
        <v>1.9139139139139139</v>
      </c>
      <c r="V29">
        <f t="shared" si="3"/>
        <v>557.6865165165168</v>
      </c>
    </row>
    <row r="30" spans="1:22" x14ac:dyDescent="0.25">
      <c r="A30">
        <v>3460</v>
      </c>
      <c r="B30" s="1">
        <v>43880</v>
      </c>
      <c r="C30" t="s">
        <v>52</v>
      </c>
      <c r="D30" t="s">
        <v>18</v>
      </c>
      <c r="E30" t="s">
        <v>32</v>
      </c>
      <c r="F30" t="s">
        <v>27</v>
      </c>
      <c r="G30" t="s">
        <v>34</v>
      </c>
      <c r="H30" t="s">
        <v>29</v>
      </c>
      <c r="I30" t="s">
        <v>51</v>
      </c>
      <c r="J30" t="s">
        <v>30</v>
      </c>
      <c r="K30" t="s">
        <v>25</v>
      </c>
      <c r="L30">
        <v>4</v>
      </c>
      <c r="M30">
        <v>3</v>
      </c>
      <c r="N30">
        <v>3</v>
      </c>
      <c r="O30">
        <v>5</v>
      </c>
      <c r="P30">
        <v>919.52</v>
      </c>
      <c r="Q30">
        <v>76</v>
      </c>
      <c r="S30">
        <f t="shared" si="0"/>
        <v>557.6865165165168</v>
      </c>
      <c r="T30">
        <f t="shared" si="1"/>
        <v>153</v>
      </c>
      <c r="U30">
        <f t="shared" si="2"/>
        <v>1.9139139139139139</v>
      </c>
      <c r="V30">
        <f t="shared" si="3"/>
        <v>557.6865165165168</v>
      </c>
    </row>
    <row r="31" spans="1:22" x14ac:dyDescent="0.25">
      <c r="A31">
        <v>3462</v>
      </c>
      <c r="B31" s="1">
        <v>43356</v>
      </c>
      <c r="C31" t="s">
        <v>54</v>
      </c>
      <c r="D31" t="s">
        <v>18</v>
      </c>
      <c r="E31" t="s">
        <v>19</v>
      </c>
      <c r="F31" t="s">
        <v>27</v>
      </c>
      <c r="G31" t="s">
        <v>34</v>
      </c>
      <c r="H31" t="s">
        <v>41</v>
      </c>
      <c r="I31" t="s">
        <v>57</v>
      </c>
      <c r="J31" t="s">
        <v>30</v>
      </c>
      <c r="K31" t="s">
        <v>64</v>
      </c>
      <c r="L31">
        <v>3</v>
      </c>
      <c r="M31">
        <v>3</v>
      </c>
      <c r="N31">
        <v>1</v>
      </c>
      <c r="O31">
        <v>1</v>
      </c>
      <c r="P31">
        <v>320.01</v>
      </c>
      <c r="Q31">
        <v>76</v>
      </c>
      <c r="S31">
        <f t="shared" si="0"/>
        <v>557.6865165165168</v>
      </c>
      <c r="T31">
        <f t="shared" si="1"/>
        <v>153</v>
      </c>
      <c r="U31">
        <f t="shared" si="2"/>
        <v>1.9139139139139139</v>
      </c>
      <c r="V31">
        <f t="shared" si="3"/>
        <v>557.6865165165168</v>
      </c>
    </row>
    <row r="32" spans="1:22" x14ac:dyDescent="0.25">
      <c r="A32">
        <v>3463</v>
      </c>
      <c r="B32" s="1">
        <v>43951</v>
      </c>
      <c r="C32" t="s">
        <v>37</v>
      </c>
      <c r="D32" t="s">
        <v>18</v>
      </c>
      <c r="E32" t="s">
        <v>28</v>
      </c>
      <c r="F32" t="s">
        <v>27</v>
      </c>
      <c r="G32" t="s">
        <v>34</v>
      </c>
      <c r="H32" t="s">
        <v>41</v>
      </c>
      <c r="I32" t="s">
        <v>53</v>
      </c>
      <c r="J32" t="s">
        <v>30</v>
      </c>
      <c r="K32" t="s">
        <v>25</v>
      </c>
      <c r="L32">
        <v>4</v>
      </c>
      <c r="M32">
        <v>3</v>
      </c>
      <c r="N32">
        <v>4</v>
      </c>
      <c r="O32">
        <v>4</v>
      </c>
      <c r="P32">
        <v>926.19</v>
      </c>
      <c r="Q32">
        <v>69</v>
      </c>
      <c r="S32">
        <f t="shared" si="0"/>
        <v>557.6865165165168</v>
      </c>
      <c r="T32">
        <f t="shared" si="1"/>
        <v>153</v>
      </c>
      <c r="U32">
        <f t="shared" si="2"/>
        <v>1.9139139139139139</v>
      </c>
      <c r="V32">
        <f t="shared" si="3"/>
        <v>557.6865165165168</v>
      </c>
    </row>
    <row r="33" spans="1:22" x14ac:dyDescent="0.25">
      <c r="A33">
        <v>3464</v>
      </c>
      <c r="B33" s="1">
        <v>43437</v>
      </c>
      <c r="C33" t="s">
        <v>60</v>
      </c>
      <c r="D33" t="s">
        <v>18</v>
      </c>
      <c r="E33" t="s">
        <v>19</v>
      </c>
      <c r="F33" t="s">
        <v>33</v>
      </c>
      <c r="G33" t="s">
        <v>34</v>
      </c>
      <c r="H33" t="s">
        <v>66</v>
      </c>
      <c r="I33" t="s">
        <v>23</v>
      </c>
      <c r="J33" t="s">
        <v>30</v>
      </c>
      <c r="K33" t="s">
        <v>64</v>
      </c>
      <c r="L33">
        <v>2</v>
      </c>
      <c r="M33">
        <v>5</v>
      </c>
      <c r="N33">
        <v>3</v>
      </c>
      <c r="O33">
        <v>2</v>
      </c>
      <c r="P33">
        <v>290.47000000000003</v>
      </c>
      <c r="Q33">
        <v>20</v>
      </c>
      <c r="S33">
        <f t="shared" si="0"/>
        <v>557.6865165165168</v>
      </c>
      <c r="T33">
        <f t="shared" si="1"/>
        <v>153</v>
      </c>
      <c r="U33">
        <f t="shared" si="2"/>
        <v>1.9139139139139139</v>
      </c>
      <c r="V33">
        <f t="shared" si="3"/>
        <v>557.6865165165168</v>
      </c>
    </row>
    <row r="34" spans="1:22" x14ac:dyDescent="0.25">
      <c r="A34">
        <v>3465</v>
      </c>
      <c r="B34" s="1">
        <v>44508</v>
      </c>
      <c r="C34" t="s">
        <v>43</v>
      </c>
      <c r="D34" t="s">
        <v>18</v>
      </c>
      <c r="E34" t="s">
        <v>32</v>
      </c>
      <c r="F34" t="s">
        <v>33</v>
      </c>
      <c r="G34" t="s">
        <v>34</v>
      </c>
      <c r="H34" t="s">
        <v>38</v>
      </c>
      <c r="I34" t="s">
        <v>23</v>
      </c>
      <c r="J34" t="s">
        <v>30</v>
      </c>
      <c r="K34" t="s">
        <v>64</v>
      </c>
      <c r="L34">
        <v>5</v>
      </c>
      <c r="M34">
        <v>4</v>
      </c>
      <c r="N34">
        <v>3</v>
      </c>
      <c r="O34">
        <v>1</v>
      </c>
      <c r="P34">
        <v>706.1</v>
      </c>
      <c r="Q34">
        <v>59</v>
      </c>
      <c r="S34">
        <f t="shared" si="0"/>
        <v>557.6865165165168</v>
      </c>
      <c r="T34">
        <f t="shared" si="1"/>
        <v>153</v>
      </c>
      <c r="U34">
        <f t="shared" si="2"/>
        <v>1.9139139139139139</v>
      </c>
      <c r="V34">
        <f t="shared" si="3"/>
        <v>557.6865165165168</v>
      </c>
    </row>
    <row r="35" spans="1:22" x14ac:dyDescent="0.25">
      <c r="A35">
        <v>3466</v>
      </c>
      <c r="B35" s="1">
        <v>44664</v>
      </c>
      <c r="C35" t="s">
        <v>60</v>
      </c>
      <c r="D35" t="s">
        <v>18</v>
      </c>
      <c r="E35" t="s">
        <v>28</v>
      </c>
      <c r="F35" t="s">
        <v>20</v>
      </c>
      <c r="G35" t="s">
        <v>61</v>
      </c>
      <c r="H35" t="s">
        <v>29</v>
      </c>
      <c r="I35" t="s">
        <v>58</v>
      </c>
      <c r="J35" t="s">
        <v>30</v>
      </c>
      <c r="K35" t="s">
        <v>46</v>
      </c>
      <c r="L35">
        <v>1</v>
      </c>
      <c r="M35">
        <v>3</v>
      </c>
      <c r="N35">
        <v>4</v>
      </c>
      <c r="O35">
        <v>3</v>
      </c>
      <c r="P35">
        <v>447.66</v>
      </c>
      <c r="Q35">
        <v>43</v>
      </c>
      <c r="S35">
        <f t="shared" si="0"/>
        <v>557.6865165165168</v>
      </c>
      <c r="T35">
        <f t="shared" si="1"/>
        <v>153</v>
      </c>
      <c r="U35">
        <f t="shared" si="2"/>
        <v>1.9139139139139139</v>
      </c>
      <c r="V35">
        <f t="shared" si="3"/>
        <v>557.6865165165168</v>
      </c>
    </row>
    <row r="36" spans="1:22" x14ac:dyDescent="0.25">
      <c r="A36">
        <v>3467</v>
      </c>
      <c r="B36" s="1">
        <v>43957</v>
      </c>
      <c r="C36" t="s">
        <v>43</v>
      </c>
      <c r="D36" t="s">
        <v>18</v>
      </c>
      <c r="E36" t="s">
        <v>19</v>
      </c>
      <c r="F36" t="s">
        <v>27</v>
      </c>
      <c r="G36" t="s">
        <v>34</v>
      </c>
      <c r="H36" t="s">
        <v>63</v>
      </c>
      <c r="I36" t="s">
        <v>58</v>
      </c>
      <c r="J36" t="s">
        <v>24</v>
      </c>
      <c r="K36" t="s">
        <v>46</v>
      </c>
      <c r="L36">
        <v>4</v>
      </c>
      <c r="M36">
        <v>3</v>
      </c>
      <c r="N36">
        <v>2</v>
      </c>
      <c r="O36">
        <v>1</v>
      </c>
      <c r="P36">
        <v>759.7</v>
      </c>
      <c r="Q36">
        <v>33</v>
      </c>
      <c r="S36">
        <f t="shared" si="0"/>
        <v>557.6865165165168</v>
      </c>
      <c r="T36">
        <f t="shared" si="1"/>
        <v>153</v>
      </c>
      <c r="U36">
        <f t="shared" si="2"/>
        <v>1.9139139139139139</v>
      </c>
      <c r="V36">
        <f t="shared" si="3"/>
        <v>557.6865165165168</v>
      </c>
    </row>
    <row r="37" spans="1:22" x14ac:dyDescent="0.25">
      <c r="A37">
        <v>3468</v>
      </c>
      <c r="B37" s="1">
        <v>43717</v>
      </c>
      <c r="C37" t="s">
        <v>49</v>
      </c>
      <c r="D37" t="s">
        <v>18</v>
      </c>
      <c r="E37" t="s">
        <v>19</v>
      </c>
      <c r="F37" t="s">
        <v>33</v>
      </c>
      <c r="G37" t="s">
        <v>34</v>
      </c>
      <c r="H37" t="s">
        <v>67</v>
      </c>
      <c r="I37" t="s">
        <v>58</v>
      </c>
      <c r="J37" t="s">
        <v>24</v>
      </c>
      <c r="K37" t="s">
        <v>25</v>
      </c>
      <c r="L37">
        <v>3</v>
      </c>
      <c r="M37">
        <v>1</v>
      </c>
      <c r="N37">
        <v>3</v>
      </c>
      <c r="O37">
        <v>3</v>
      </c>
      <c r="P37">
        <v>180.63</v>
      </c>
      <c r="Q37">
        <v>21</v>
      </c>
      <c r="S37">
        <f t="shared" si="0"/>
        <v>557.6865165165168</v>
      </c>
      <c r="T37">
        <f t="shared" si="1"/>
        <v>153</v>
      </c>
      <c r="U37">
        <f t="shared" si="2"/>
        <v>1.9139139139139139</v>
      </c>
      <c r="V37">
        <f t="shared" si="3"/>
        <v>557.6865165165168</v>
      </c>
    </row>
    <row r="38" spans="1:22" x14ac:dyDescent="0.25">
      <c r="A38">
        <v>3471</v>
      </c>
      <c r="B38" s="1">
        <v>43890</v>
      </c>
      <c r="C38" t="s">
        <v>17</v>
      </c>
      <c r="D38" t="s">
        <v>18</v>
      </c>
      <c r="E38" t="s">
        <v>28</v>
      </c>
      <c r="F38" t="s">
        <v>20</v>
      </c>
      <c r="G38" t="s">
        <v>34</v>
      </c>
      <c r="H38" t="s">
        <v>41</v>
      </c>
      <c r="I38" t="s">
        <v>51</v>
      </c>
      <c r="J38" t="s">
        <v>30</v>
      </c>
      <c r="K38" t="s">
        <v>25</v>
      </c>
      <c r="L38">
        <v>2</v>
      </c>
      <c r="M38">
        <v>4</v>
      </c>
      <c r="N38">
        <v>1</v>
      </c>
      <c r="O38">
        <v>3</v>
      </c>
      <c r="P38">
        <v>109.98</v>
      </c>
      <c r="Q38">
        <v>53</v>
      </c>
      <c r="S38">
        <f t="shared" si="0"/>
        <v>557.6865165165168</v>
      </c>
      <c r="T38">
        <f t="shared" si="1"/>
        <v>153</v>
      </c>
      <c r="U38">
        <f t="shared" si="2"/>
        <v>1.9139139139139139</v>
      </c>
      <c r="V38">
        <f t="shared" si="3"/>
        <v>557.6865165165168</v>
      </c>
    </row>
    <row r="39" spans="1:22" x14ac:dyDescent="0.25">
      <c r="A39">
        <v>3472</v>
      </c>
      <c r="B39" s="1">
        <v>44941</v>
      </c>
      <c r="C39" t="s">
        <v>52</v>
      </c>
      <c r="D39" t="s">
        <v>18</v>
      </c>
      <c r="E39" t="s">
        <v>19</v>
      </c>
      <c r="F39" t="s">
        <v>20</v>
      </c>
      <c r="G39" t="s">
        <v>34</v>
      </c>
      <c r="H39" t="s">
        <v>62</v>
      </c>
      <c r="I39" t="s">
        <v>51</v>
      </c>
      <c r="J39" t="s">
        <v>30</v>
      </c>
      <c r="K39" t="s">
        <v>46</v>
      </c>
      <c r="L39">
        <v>5</v>
      </c>
      <c r="M39">
        <v>5</v>
      </c>
      <c r="N39">
        <v>4</v>
      </c>
      <c r="O39">
        <v>5</v>
      </c>
      <c r="P39">
        <v>537.24</v>
      </c>
      <c r="Q39">
        <v>41</v>
      </c>
      <c r="S39">
        <f t="shared" si="0"/>
        <v>557.6865165165168</v>
      </c>
      <c r="T39">
        <f t="shared" si="1"/>
        <v>153</v>
      </c>
      <c r="U39">
        <f t="shared" si="2"/>
        <v>1.9139139139139139</v>
      </c>
      <c r="V39">
        <f t="shared" si="3"/>
        <v>557.6865165165168</v>
      </c>
    </row>
    <row r="40" spans="1:22" x14ac:dyDescent="0.25">
      <c r="A40">
        <v>3473</v>
      </c>
      <c r="B40" s="1">
        <v>45106</v>
      </c>
      <c r="C40" t="s">
        <v>26</v>
      </c>
      <c r="D40" t="s">
        <v>18</v>
      </c>
      <c r="E40" t="s">
        <v>28</v>
      </c>
      <c r="F40" t="s">
        <v>27</v>
      </c>
      <c r="G40" t="s">
        <v>34</v>
      </c>
      <c r="H40" t="s">
        <v>66</v>
      </c>
      <c r="I40" t="s">
        <v>57</v>
      </c>
      <c r="J40" t="s">
        <v>30</v>
      </c>
      <c r="K40" t="s">
        <v>46</v>
      </c>
      <c r="L40">
        <v>3</v>
      </c>
      <c r="M40">
        <v>4</v>
      </c>
      <c r="N40">
        <v>4</v>
      </c>
      <c r="O40">
        <v>5</v>
      </c>
      <c r="P40">
        <v>789.99</v>
      </c>
      <c r="Q40">
        <v>73</v>
      </c>
      <c r="S40">
        <f t="shared" si="0"/>
        <v>557.6865165165168</v>
      </c>
      <c r="T40">
        <f t="shared" si="1"/>
        <v>153</v>
      </c>
      <c r="U40">
        <f t="shared" si="2"/>
        <v>1.9139139139139139</v>
      </c>
      <c r="V40">
        <f t="shared" si="3"/>
        <v>557.6865165165168</v>
      </c>
    </row>
    <row r="41" spans="1:22" x14ac:dyDescent="0.25">
      <c r="A41">
        <v>3474</v>
      </c>
      <c r="B41" s="1">
        <v>43899</v>
      </c>
      <c r="C41" t="s">
        <v>54</v>
      </c>
      <c r="D41" t="s">
        <v>18</v>
      </c>
      <c r="E41" t="s">
        <v>32</v>
      </c>
      <c r="F41" t="s">
        <v>27</v>
      </c>
      <c r="G41" t="s">
        <v>34</v>
      </c>
      <c r="H41" t="s">
        <v>68</v>
      </c>
      <c r="I41" t="s">
        <v>57</v>
      </c>
      <c r="J41" t="s">
        <v>30</v>
      </c>
      <c r="K41" t="s">
        <v>25</v>
      </c>
      <c r="L41">
        <v>3</v>
      </c>
      <c r="M41">
        <v>1</v>
      </c>
      <c r="N41">
        <v>2</v>
      </c>
      <c r="O41">
        <v>5</v>
      </c>
      <c r="P41">
        <v>155.51</v>
      </c>
      <c r="Q41">
        <v>55</v>
      </c>
      <c r="S41">
        <f t="shared" si="0"/>
        <v>557.6865165165168</v>
      </c>
      <c r="T41">
        <f t="shared" si="1"/>
        <v>153</v>
      </c>
      <c r="U41">
        <f t="shared" si="2"/>
        <v>1.9139139139139139</v>
      </c>
      <c r="V41">
        <f t="shared" si="3"/>
        <v>557.6865165165168</v>
      </c>
    </row>
    <row r="42" spans="1:22" x14ac:dyDescent="0.25">
      <c r="A42">
        <v>3475</v>
      </c>
      <c r="B42" s="1">
        <v>44460</v>
      </c>
      <c r="C42" t="s">
        <v>37</v>
      </c>
      <c r="D42" t="s">
        <v>18</v>
      </c>
      <c r="E42" t="s">
        <v>32</v>
      </c>
      <c r="F42" t="s">
        <v>20</v>
      </c>
      <c r="G42" t="s">
        <v>34</v>
      </c>
      <c r="H42" t="s">
        <v>38</v>
      </c>
      <c r="I42" t="s">
        <v>53</v>
      </c>
      <c r="J42" t="s">
        <v>30</v>
      </c>
      <c r="K42" t="s">
        <v>25</v>
      </c>
      <c r="L42">
        <v>4</v>
      </c>
      <c r="M42">
        <v>3</v>
      </c>
      <c r="N42">
        <v>4</v>
      </c>
      <c r="O42">
        <v>2</v>
      </c>
      <c r="P42">
        <v>648.76</v>
      </c>
      <c r="Q42">
        <v>64</v>
      </c>
      <c r="S42">
        <f t="shared" si="0"/>
        <v>557.6865165165168</v>
      </c>
      <c r="T42">
        <f t="shared" si="1"/>
        <v>153</v>
      </c>
      <c r="U42">
        <f t="shared" si="2"/>
        <v>1.9139139139139139</v>
      </c>
      <c r="V42">
        <f t="shared" si="3"/>
        <v>557.6865165165168</v>
      </c>
    </row>
    <row r="43" spans="1:22" x14ac:dyDescent="0.25">
      <c r="A43">
        <v>3476</v>
      </c>
      <c r="B43" s="1">
        <v>45089</v>
      </c>
      <c r="C43" t="s">
        <v>60</v>
      </c>
      <c r="D43" t="s">
        <v>18</v>
      </c>
      <c r="E43" t="s">
        <v>28</v>
      </c>
      <c r="F43" t="s">
        <v>27</v>
      </c>
      <c r="G43" t="s">
        <v>34</v>
      </c>
      <c r="H43" t="s">
        <v>63</v>
      </c>
      <c r="I43" t="s">
        <v>23</v>
      </c>
      <c r="J43" t="s">
        <v>30</v>
      </c>
      <c r="K43" t="s">
        <v>64</v>
      </c>
      <c r="L43">
        <v>5</v>
      </c>
      <c r="M43">
        <v>5</v>
      </c>
      <c r="N43">
        <v>3</v>
      </c>
      <c r="O43">
        <v>4</v>
      </c>
      <c r="P43">
        <v>533.5</v>
      </c>
      <c r="Q43">
        <v>78</v>
      </c>
      <c r="S43">
        <f t="shared" si="0"/>
        <v>557.6865165165168</v>
      </c>
      <c r="T43">
        <f t="shared" si="1"/>
        <v>153</v>
      </c>
      <c r="U43">
        <f t="shared" si="2"/>
        <v>1.9139139139139139</v>
      </c>
      <c r="V43">
        <f t="shared" si="3"/>
        <v>557.6865165165168</v>
      </c>
    </row>
    <row r="44" spans="1:22" x14ac:dyDescent="0.25">
      <c r="A44">
        <v>3477</v>
      </c>
      <c r="B44" s="1">
        <v>43562</v>
      </c>
      <c r="C44" t="s">
        <v>60</v>
      </c>
      <c r="D44" t="s">
        <v>18</v>
      </c>
      <c r="E44" t="s">
        <v>28</v>
      </c>
      <c r="F44" t="s">
        <v>27</v>
      </c>
      <c r="G44" t="s">
        <v>61</v>
      </c>
      <c r="H44" t="s">
        <v>29</v>
      </c>
      <c r="I44" t="s">
        <v>58</v>
      </c>
      <c r="J44" t="s">
        <v>24</v>
      </c>
      <c r="K44" t="s">
        <v>64</v>
      </c>
      <c r="L44">
        <v>1</v>
      </c>
      <c r="M44">
        <v>2</v>
      </c>
      <c r="N44">
        <v>1</v>
      </c>
      <c r="O44">
        <v>5</v>
      </c>
      <c r="P44">
        <v>429.48</v>
      </c>
      <c r="Q44">
        <v>50</v>
      </c>
      <c r="S44">
        <f t="shared" si="0"/>
        <v>557.6865165165168</v>
      </c>
      <c r="T44">
        <f t="shared" si="1"/>
        <v>153</v>
      </c>
      <c r="U44">
        <f t="shared" si="2"/>
        <v>1.9139139139139139</v>
      </c>
      <c r="V44">
        <f t="shared" si="3"/>
        <v>557.6865165165168</v>
      </c>
    </row>
    <row r="45" spans="1:22" x14ac:dyDescent="0.25">
      <c r="A45">
        <v>3478</v>
      </c>
      <c r="B45" s="1">
        <v>43360</v>
      </c>
      <c r="C45" t="s">
        <v>43</v>
      </c>
      <c r="D45" t="s">
        <v>18</v>
      </c>
      <c r="E45" t="s">
        <v>32</v>
      </c>
      <c r="F45" t="s">
        <v>20</v>
      </c>
      <c r="G45" t="s">
        <v>34</v>
      </c>
      <c r="H45" t="s">
        <v>67</v>
      </c>
      <c r="I45" t="s">
        <v>58</v>
      </c>
      <c r="J45" t="s">
        <v>24</v>
      </c>
      <c r="K45" t="s">
        <v>25</v>
      </c>
      <c r="L45">
        <v>3</v>
      </c>
      <c r="M45">
        <v>4</v>
      </c>
      <c r="N45">
        <v>1</v>
      </c>
      <c r="O45">
        <v>1</v>
      </c>
      <c r="P45">
        <v>526.74</v>
      </c>
      <c r="Q45">
        <v>61</v>
      </c>
      <c r="S45">
        <f t="shared" si="0"/>
        <v>557.6865165165168</v>
      </c>
      <c r="T45">
        <f t="shared" si="1"/>
        <v>153</v>
      </c>
      <c r="U45">
        <f t="shared" si="2"/>
        <v>1.9139139139139139</v>
      </c>
      <c r="V45">
        <f t="shared" si="3"/>
        <v>557.6865165165168</v>
      </c>
    </row>
    <row r="46" spans="1:22" x14ac:dyDescent="0.25">
      <c r="A46">
        <v>3479</v>
      </c>
      <c r="B46" s="1">
        <v>44775</v>
      </c>
      <c r="C46" t="s">
        <v>49</v>
      </c>
      <c r="D46" t="s">
        <v>18</v>
      </c>
      <c r="E46" t="s">
        <v>19</v>
      </c>
      <c r="F46" t="s">
        <v>27</v>
      </c>
      <c r="G46" t="s">
        <v>34</v>
      </c>
      <c r="H46" t="s">
        <v>62</v>
      </c>
      <c r="I46" t="s">
        <v>51</v>
      </c>
      <c r="J46" t="s">
        <v>24</v>
      </c>
      <c r="K46" t="s">
        <v>25</v>
      </c>
      <c r="L46">
        <v>4</v>
      </c>
      <c r="M46">
        <v>4</v>
      </c>
      <c r="N46">
        <v>4</v>
      </c>
      <c r="O46">
        <v>3</v>
      </c>
      <c r="P46">
        <v>443.45</v>
      </c>
      <c r="Q46">
        <v>60</v>
      </c>
      <c r="S46">
        <f t="shared" si="0"/>
        <v>557.6865165165168</v>
      </c>
      <c r="T46">
        <f t="shared" si="1"/>
        <v>153</v>
      </c>
      <c r="U46">
        <f t="shared" si="2"/>
        <v>1.9139139139139139</v>
      </c>
      <c r="V46">
        <f t="shared" si="3"/>
        <v>557.6865165165168</v>
      </c>
    </row>
    <row r="47" spans="1:22" x14ac:dyDescent="0.25">
      <c r="A47">
        <v>3483</v>
      </c>
      <c r="B47" s="1">
        <v>44465</v>
      </c>
      <c r="C47" t="s">
        <v>52</v>
      </c>
      <c r="D47" t="s">
        <v>18</v>
      </c>
      <c r="E47" t="s">
        <v>28</v>
      </c>
      <c r="F47" t="s">
        <v>33</v>
      </c>
      <c r="G47" t="s">
        <v>34</v>
      </c>
      <c r="H47" t="s">
        <v>62</v>
      </c>
      <c r="I47" t="s">
        <v>57</v>
      </c>
      <c r="J47" t="s">
        <v>30</v>
      </c>
      <c r="K47" t="s">
        <v>25</v>
      </c>
      <c r="L47">
        <v>1</v>
      </c>
      <c r="M47">
        <v>4</v>
      </c>
      <c r="N47">
        <v>5</v>
      </c>
      <c r="O47">
        <v>4</v>
      </c>
      <c r="P47">
        <v>111.96</v>
      </c>
      <c r="Q47">
        <v>57</v>
      </c>
      <c r="S47">
        <f t="shared" si="0"/>
        <v>557.6865165165168</v>
      </c>
      <c r="T47">
        <f t="shared" si="1"/>
        <v>153</v>
      </c>
      <c r="U47">
        <f t="shared" si="2"/>
        <v>1.9139139139139139</v>
      </c>
      <c r="V47">
        <f t="shared" si="3"/>
        <v>557.6865165165168</v>
      </c>
    </row>
    <row r="48" spans="1:22" x14ac:dyDescent="0.25">
      <c r="A48">
        <v>3484</v>
      </c>
      <c r="B48" s="1">
        <v>43341</v>
      </c>
      <c r="C48" t="s">
        <v>26</v>
      </c>
      <c r="D48" t="s">
        <v>18</v>
      </c>
      <c r="E48" t="s">
        <v>28</v>
      </c>
      <c r="F48" t="s">
        <v>33</v>
      </c>
      <c r="G48" t="s">
        <v>34</v>
      </c>
      <c r="H48" t="s">
        <v>38</v>
      </c>
      <c r="I48" t="s">
        <v>57</v>
      </c>
      <c r="J48" t="s">
        <v>30</v>
      </c>
      <c r="K48" t="s">
        <v>25</v>
      </c>
      <c r="L48">
        <v>1</v>
      </c>
      <c r="M48">
        <v>2</v>
      </c>
      <c r="N48">
        <v>4</v>
      </c>
      <c r="O48">
        <v>1</v>
      </c>
      <c r="P48">
        <v>795.7</v>
      </c>
      <c r="Q48">
        <v>23</v>
      </c>
      <c r="S48">
        <f t="shared" si="0"/>
        <v>557.6865165165168</v>
      </c>
      <c r="T48">
        <f t="shared" si="1"/>
        <v>153</v>
      </c>
      <c r="U48">
        <f t="shared" si="2"/>
        <v>1.9139139139139139</v>
      </c>
      <c r="V48">
        <f t="shared" si="3"/>
        <v>557.6865165165168</v>
      </c>
    </row>
    <row r="49" spans="1:22" x14ac:dyDescent="0.25">
      <c r="A49">
        <v>3485</v>
      </c>
      <c r="B49" s="1">
        <v>44495</v>
      </c>
      <c r="C49" t="s">
        <v>54</v>
      </c>
      <c r="D49" t="s">
        <v>18</v>
      </c>
      <c r="E49" t="s">
        <v>19</v>
      </c>
      <c r="F49" t="s">
        <v>20</v>
      </c>
      <c r="G49" t="s">
        <v>34</v>
      </c>
      <c r="H49" t="s">
        <v>41</v>
      </c>
      <c r="I49" t="s">
        <v>57</v>
      </c>
      <c r="J49" t="s">
        <v>30</v>
      </c>
      <c r="K49" t="s">
        <v>25</v>
      </c>
      <c r="L49">
        <v>2</v>
      </c>
      <c r="M49">
        <v>1</v>
      </c>
      <c r="N49">
        <v>3</v>
      </c>
      <c r="O49">
        <v>2</v>
      </c>
      <c r="P49">
        <v>796.45</v>
      </c>
      <c r="Q49">
        <v>27</v>
      </c>
      <c r="S49">
        <f t="shared" si="0"/>
        <v>557.6865165165168</v>
      </c>
      <c r="T49">
        <f t="shared" si="1"/>
        <v>153</v>
      </c>
      <c r="U49">
        <f t="shared" si="2"/>
        <v>1.9139139139139139</v>
      </c>
      <c r="V49">
        <f t="shared" si="3"/>
        <v>557.6865165165168</v>
      </c>
    </row>
    <row r="50" spans="1:22" x14ac:dyDescent="0.25">
      <c r="A50">
        <v>3486</v>
      </c>
      <c r="B50" s="1">
        <v>44865</v>
      </c>
      <c r="C50" t="s">
        <v>37</v>
      </c>
      <c r="D50" t="s">
        <v>18</v>
      </c>
      <c r="E50" t="s">
        <v>28</v>
      </c>
      <c r="F50" t="s">
        <v>20</v>
      </c>
      <c r="G50" t="s">
        <v>34</v>
      </c>
      <c r="H50" t="s">
        <v>63</v>
      </c>
      <c r="I50" t="s">
        <v>53</v>
      </c>
      <c r="J50" t="s">
        <v>30</v>
      </c>
      <c r="K50" t="s">
        <v>25</v>
      </c>
      <c r="L50">
        <v>3</v>
      </c>
      <c r="M50">
        <v>1</v>
      </c>
      <c r="N50">
        <v>1</v>
      </c>
      <c r="O50">
        <v>5</v>
      </c>
      <c r="P50">
        <v>812.59</v>
      </c>
      <c r="Q50">
        <v>32</v>
      </c>
      <c r="S50">
        <f t="shared" si="0"/>
        <v>557.6865165165168</v>
      </c>
      <c r="T50">
        <f t="shared" si="1"/>
        <v>153</v>
      </c>
      <c r="U50">
        <f t="shared" si="2"/>
        <v>1.9139139139139139</v>
      </c>
      <c r="V50">
        <f t="shared" si="3"/>
        <v>557.6865165165168</v>
      </c>
    </row>
    <row r="51" spans="1:22" x14ac:dyDescent="0.25">
      <c r="A51">
        <v>3487</v>
      </c>
      <c r="B51" s="1">
        <v>45000</v>
      </c>
      <c r="C51" t="s">
        <v>40</v>
      </c>
      <c r="D51" t="s">
        <v>18</v>
      </c>
      <c r="E51" t="s">
        <v>19</v>
      </c>
      <c r="F51" t="s">
        <v>33</v>
      </c>
      <c r="G51" t="s">
        <v>34</v>
      </c>
      <c r="H51" t="s">
        <v>35</v>
      </c>
      <c r="I51" t="s">
        <v>58</v>
      </c>
      <c r="J51" t="s">
        <v>24</v>
      </c>
      <c r="K51" t="s">
        <v>25</v>
      </c>
      <c r="L51">
        <v>5</v>
      </c>
      <c r="M51">
        <v>4</v>
      </c>
      <c r="N51">
        <v>1</v>
      </c>
      <c r="O51">
        <v>5</v>
      </c>
      <c r="P51">
        <v>132.97</v>
      </c>
      <c r="Q51">
        <v>29</v>
      </c>
      <c r="S51">
        <f t="shared" si="0"/>
        <v>557.6865165165168</v>
      </c>
      <c r="T51">
        <f t="shared" si="1"/>
        <v>153</v>
      </c>
      <c r="U51">
        <f t="shared" si="2"/>
        <v>1.9139139139139139</v>
      </c>
      <c r="V51">
        <f t="shared" si="3"/>
        <v>557.6865165165168</v>
      </c>
    </row>
    <row r="52" spans="1:22" x14ac:dyDescent="0.25">
      <c r="A52">
        <v>3488</v>
      </c>
      <c r="B52" s="1">
        <v>44813</v>
      </c>
      <c r="C52" t="s">
        <v>17</v>
      </c>
      <c r="D52" t="s">
        <v>18</v>
      </c>
      <c r="E52" t="s">
        <v>19</v>
      </c>
      <c r="F52" t="s">
        <v>33</v>
      </c>
      <c r="G52" t="s">
        <v>34</v>
      </c>
      <c r="H52" t="s">
        <v>67</v>
      </c>
      <c r="I52" t="s">
        <v>58</v>
      </c>
      <c r="J52" t="s">
        <v>24</v>
      </c>
      <c r="K52" t="s">
        <v>25</v>
      </c>
      <c r="L52">
        <v>1</v>
      </c>
      <c r="M52">
        <v>5</v>
      </c>
      <c r="N52">
        <v>1</v>
      </c>
      <c r="O52">
        <v>1</v>
      </c>
      <c r="P52">
        <v>308.19</v>
      </c>
      <c r="Q52">
        <v>25</v>
      </c>
      <c r="S52">
        <f t="shared" si="0"/>
        <v>557.6865165165168</v>
      </c>
      <c r="T52">
        <f t="shared" si="1"/>
        <v>153</v>
      </c>
      <c r="U52">
        <f t="shared" si="2"/>
        <v>1.9139139139139139</v>
      </c>
      <c r="V52">
        <f t="shared" si="3"/>
        <v>557.6865165165168</v>
      </c>
    </row>
    <row r="53" spans="1:22" x14ac:dyDescent="0.25">
      <c r="A53">
        <v>3489</v>
      </c>
      <c r="B53" s="1">
        <v>44624</v>
      </c>
      <c r="C53" t="s">
        <v>26</v>
      </c>
      <c r="D53" t="s">
        <v>18</v>
      </c>
      <c r="E53" t="s">
        <v>28</v>
      </c>
      <c r="F53" t="s">
        <v>27</v>
      </c>
      <c r="G53" t="s">
        <v>34</v>
      </c>
      <c r="H53" t="s">
        <v>41</v>
      </c>
      <c r="I53" t="s">
        <v>51</v>
      </c>
      <c r="J53" t="s">
        <v>24</v>
      </c>
      <c r="K53" t="s">
        <v>25</v>
      </c>
      <c r="L53">
        <v>2</v>
      </c>
      <c r="M53">
        <v>4</v>
      </c>
      <c r="N53">
        <v>5</v>
      </c>
      <c r="O53">
        <v>1</v>
      </c>
      <c r="P53">
        <v>131.41</v>
      </c>
      <c r="Q53">
        <v>69</v>
      </c>
      <c r="S53">
        <f t="shared" si="0"/>
        <v>557.6865165165168</v>
      </c>
      <c r="T53">
        <f t="shared" si="1"/>
        <v>153</v>
      </c>
      <c r="U53">
        <f t="shared" si="2"/>
        <v>1.9139139139139139</v>
      </c>
      <c r="V53">
        <f t="shared" si="3"/>
        <v>557.6865165165168</v>
      </c>
    </row>
    <row r="54" spans="1:22" x14ac:dyDescent="0.25">
      <c r="A54">
        <v>3490</v>
      </c>
      <c r="B54" s="1">
        <v>43507</v>
      </c>
      <c r="C54" t="s">
        <v>54</v>
      </c>
      <c r="D54" t="s">
        <v>18</v>
      </c>
      <c r="E54" t="s">
        <v>28</v>
      </c>
      <c r="F54" t="s">
        <v>27</v>
      </c>
      <c r="G54" t="s">
        <v>34</v>
      </c>
      <c r="H54" t="s">
        <v>35</v>
      </c>
      <c r="I54" t="s">
        <v>51</v>
      </c>
      <c r="J54" t="s">
        <v>24</v>
      </c>
      <c r="K54" t="s">
        <v>25</v>
      </c>
      <c r="L54">
        <v>5</v>
      </c>
      <c r="M54">
        <v>3</v>
      </c>
      <c r="N54">
        <v>2</v>
      </c>
      <c r="O54">
        <v>3</v>
      </c>
      <c r="P54">
        <v>389.59</v>
      </c>
      <c r="Q54">
        <v>28</v>
      </c>
      <c r="S54">
        <f t="shared" si="0"/>
        <v>557.6865165165168</v>
      </c>
      <c r="T54">
        <f t="shared" si="1"/>
        <v>153</v>
      </c>
      <c r="U54">
        <f t="shared" si="2"/>
        <v>1.9139139139139139</v>
      </c>
      <c r="V54">
        <f t="shared" si="3"/>
        <v>557.6865165165168</v>
      </c>
    </row>
    <row r="55" spans="1:22" x14ac:dyDescent="0.25">
      <c r="A55">
        <v>3491</v>
      </c>
      <c r="B55" s="1">
        <v>44222</v>
      </c>
      <c r="C55" t="s">
        <v>49</v>
      </c>
      <c r="D55" t="s">
        <v>18</v>
      </c>
      <c r="E55" t="s">
        <v>19</v>
      </c>
      <c r="F55" t="s">
        <v>33</v>
      </c>
      <c r="G55" t="s">
        <v>34</v>
      </c>
      <c r="H55" t="s">
        <v>41</v>
      </c>
      <c r="I55" t="s">
        <v>51</v>
      </c>
      <c r="J55" t="s">
        <v>30</v>
      </c>
      <c r="K55" t="s">
        <v>25</v>
      </c>
      <c r="L55">
        <v>3</v>
      </c>
      <c r="M55">
        <v>4</v>
      </c>
      <c r="N55">
        <v>5</v>
      </c>
      <c r="O55">
        <v>3</v>
      </c>
      <c r="P55">
        <v>442.56</v>
      </c>
      <c r="Q55">
        <v>48</v>
      </c>
      <c r="S55">
        <f t="shared" si="0"/>
        <v>557.6865165165168</v>
      </c>
      <c r="T55">
        <f t="shared" si="1"/>
        <v>153</v>
      </c>
      <c r="U55">
        <f t="shared" si="2"/>
        <v>1.9139139139139139</v>
      </c>
      <c r="V55">
        <f t="shared" si="3"/>
        <v>557.6865165165168</v>
      </c>
    </row>
    <row r="56" spans="1:22" x14ac:dyDescent="0.25">
      <c r="A56">
        <v>3492</v>
      </c>
      <c r="B56" s="1">
        <v>43795</v>
      </c>
      <c r="C56" t="s">
        <v>31</v>
      </c>
      <c r="D56" t="s">
        <v>18</v>
      </c>
      <c r="E56" t="s">
        <v>32</v>
      </c>
      <c r="F56" t="s">
        <v>20</v>
      </c>
      <c r="G56" t="s">
        <v>34</v>
      </c>
      <c r="H56" t="s">
        <v>38</v>
      </c>
      <c r="I56" t="s">
        <v>57</v>
      </c>
      <c r="J56" t="s">
        <v>30</v>
      </c>
      <c r="K56" t="s">
        <v>25</v>
      </c>
      <c r="L56">
        <v>1</v>
      </c>
      <c r="M56">
        <v>5</v>
      </c>
      <c r="N56">
        <v>5</v>
      </c>
      <c r="O56">
        <v>3</v>
      </c>
      <c r="P56">
        <v>327.66000000000003</v>
      </c>
      <c r="Q56">
        <v>26</v>
      </c>
      <c r="S56">
        <f t="shared" si="0"/>
        <v>557.6865165165168</v>
      </c>
      <c r="T56">
        <f t="shared" si="1"/>
        <v>153</v>
      </c>
      <c r="U56">
        <f t="shared" si="2"/>
        <v>1.9139139139139139</v>
      </c>
      <c r="V56">
        <f t="shared" si="3"/>
        <v>557.6865165165168</v>
      </c>
    </row>
    <row r="57" spans="1:22" x14ac:dyDescent="0.25">
      <c r="A57">
        <v>3493</v>
      </c>
      <c r="B57" s="1">
        <v>43661</v>
      </c>
      <c r="C57" t="s">
        <v>60</v>
      </c>
      <c r="D57" t="s">
        <v>18</v>
      </c>
      <c r="E57" t="s">
        <v>32</v>
      </c>
      <c r="F57" t="s">
        <v>20</v>
      </c>
      <c r="G57" t="s">
        <v>34</v>
      </c>
      <c r="H57" t="s">
        <v>62</v>
      </c>
      <c r="I57" t="s">
        <v>57</v>
      </c>
      <c r="J57" t="s">
        <v>30</v>
      </c>
      <c r="K57" t="s">
        <v>25</v>
      </c>
      <c r="L57">
        <v>3</v>
      </c>
      <c r="M57">
        <v>1</v>
      </c>
      <c r="N57">
        <v>5</v>
      </c>
      <c r="O57">
        <v>3</v>
      </c>
      <c r="P57">
        <v>400.95</v>
      </c>
      <c r="Q57">
        <v>35</v>
      </c>
      <c r="S57">
        <f t="shared" si="0"/>
        <v>557.6865165165168</v>
      </c>
      <c r="T57">
        <f t="shared" si="1"/>
        <v>153</v>
      </c>
      <c r="U57">
        <f t="shared" si="2"/>
        <v>1.9139139139139139</v>
      </c>
      <c r="V57">
        <f t="shared" si="3"/>
        <v>557.6865165165168</v>
      </c>
    </row>
    <row r="58" spans="1:22" x14ac:dyDescent="0.25">
      <c r="A58">
        <v>3494</v>
      </c>
      <c r="B58" s="1">
        <v>44000</v>
      </c>
      <c r="C58" t="s">
        <v>52</v>
      </c>
      <c r="D58" t="s">
        <v>18</v>
      </c>
      <c r="E58" t="s">
        <v>19</v>
      </c>
      <c r="F58" t="s">
        <v>33</v>
      </c>
      <c r="G58" t="s">
        <v>34</v>
      </c>
      <c r="H58" t="s">
        <v>38</v>
      </c>
      <c r="I58" t="s">
        <v>57</v>
      </c>
      <c r="J58" t="s">
        <v>30</v>
      </c>
      <c r="K58" t="s">
        <v>25</v>
      </c>
      <c r="L58">
        <v>1</v>
      </c>
      <c r="M58">
        <v>2</v>
      </c>
      <c r="N58">
        <v>1</v>
      </c>
      <c r="O58">
        <v>2</v>
      </c>
      <c r="P58">
        <v>910.45</v>
      </c>
      <c r="Q58">
        <v>26</v>
      </c>
      <c r="S58">
        <f t="shared" si="0"/>
        <v>557.6865165165168</v>
      </c>
      <c r="T58">
        <f t="shared" si="1"/>
        <v>153</v>
      </c>
      <c r="U58">
        <f t="shared" si="2"/>
        <v>1.9139139139139139</v>
      </c>
      <c r="V58">
        <f t="shared" si="3"/>
        <v>557.6865165165168</v>
      </c>
    </row>
    <row r="59" spans="1:22" x14ac:dyDescent="0.25">
      <c r="A59">
        <v>3495</v>
      </c>
      <c r="B59" s="1">
        <v>45099</v>
      </c>
      <c r="C59" t="s">
        <v>37</v>
      </c>
      <c r="D59" t="s">
        <v>18</v>
      </c>
      <c r="E59" t="s">
        <v>28</v>
      </c>
      <c r="F59" t="s">
        <v>33</v>
      </c>
      <c r="G59" t="s">
        <v>34</v>
      </c>
      <c r="H59" t="s">
        <v>67</v>
      </c>
      <c r="I59" t="s">
        <v>53</v>
      </c>
      <c r="J59" t="s">
        <v>30</v>
      </c>
      <c r="K59" t="s">
        <v>25</v>
      </c>
      <c r="L59">
        <v>4</v>
      </c>
      <c r="M59">
        <v>3</v>
      </c>
      <c r="N59">
        <v>5</v>
      </c>
      <c r="O59">
        <v>1</v>
      </c>
      <c r="P59">
        <v>701.55</v>
      </c>
      <c r="Q59">
        <v>30</v>
      </c>
      <c r="S59">
        <f t="shared" si="0"/>
        <v>557.6865165165168</v>
      </c>
      <c r="T59">
        <f t="shared" si="1"/>
        <v>153</v>
      </c>
      <c r="U59">
        <f t="shared" si="2"/>
        <v>1.9139139139139139</v>
      </c>
      <c r="V59">
        <f t="shared" si="3"/>
        <v>557.6865165165168</v>
      </c>
    </row>
    <row r="60" spans="1:22" x14ac:dyDescent="0.25">
      <c r="A60">
        <v>3496</v>
      </c>
      <c r="B60" s="1">
        <v>44532</v>
      </c>
      <c r="C60" t="s">
        <v>43</v>
      </c>
      <c r="D60" t="s">
        <v>18</v>
      </c>
      <c r="E60" t="s">
        <v>19</v>
      </c>
      <c r="F60" t="s">
        <v>27</v>
      </c>
      <c r="G60" t="s">
        <v>34</v>
      </c>
      <c r="H60" t="s">
        <v>35</v>
      </c>
      <c r="I60" t="s">
        <v>45</v>
      </c>
      <c r="J60" t="s">
        <v>30</v>
      </c>
      <c r="K60" t="s">
        <v>25</v>
      </c>
      <c r="L60">
        <v>1</v>
      </c>
      <c r="M60">
        <v>3</v>
      </c>
      <c r="N60">
        <v>2</v>
      </c>
      <c r="O60">
        <v>1</v>
      </c>
      <c r="P60">
        <v>806.87</v>
      </c>
      <c r="Q60">
        <v>57</v>
      </c>
      <c r="S60">
        <f t="shared" si="0"/>
        <v>557.6865165165168</v>
      </c>
      <c r="T60">
        <f t="shared" si="1"/>
        <v>153</v>
      </c>
      <c r="U60">
        <f t="shared" si="2"/>
        <v>1.9139139139139139</v>
      </c>
      <c r="V60">
        <f t="shared" si="3"/>
        <v>557.6865165165168</v>
      </c>
    </row>
    <row r="61" spans="1:22" x14ac:dyDescent="0.25">
      <c r="A61">
        <v>3497</v>
      </c>
      <c r="B61" s="1">
        <v>44538</v>
      </c>
      <c r="C61" t="s">
        <v>37</v>
      </c>
      <c r="D61" t="s">
        <v>18</v>
      </c>
      <c r="E61" t="s">
        <v>28</v>
      </c>
      <c r="F61" t="s">
        <v>20</v>
      </c>
      <c r="G61" t="s">
        <v>34</v>
      </c>
      <c r="H61" t="s">
        <v>62</v>
      </c>
      <c r="I61" t="s">
        <v>48</v>
      </c>
      <c r="J61" t="s">
        <v>24</v>
      </c>
      <c r="K61" t="s">
        <v>25</v>
      </c>
      <c r="L61">
        <v>2</v>
      </c>
      <c r="M61">
        <v>3</v>
      </c>
      <c r="N61">
        <v>4</v>
      </c>
      <c r="O61">
        <v>2</v>
      </c>
      <c r="P61">
        <v>184.21</v>
      </c>
      <c r="Q61">
        <v>40</v>
      </c>
      <c r="S61">
        <f t="shared" si="0"/>
        <v>557.6865165165168</v>
      </c>
      <c r="T61">
        <f t="shared" si="1"/>
        <v>153</v>
      </c>
      <c r="U61">
        <f t="shared" si="2"/>
        <v>1.9139139139139139</v>
      </c>
      <c r="V61">
        <f t="shared" si="3"/>
        <v>557.6865165165168</v>
      </c>
    </row>
    <row r="62" spans="1:22" x14ac:dyDescent="0.25">
      <c r="A62">
        <v>3498</v>
      </c>
      <c r="B62" s="1">
        <v>45042</v>
      </c>
      <c r="C62" t="s">
        <v>60</v>
      </c>
      <c r="D62" t="s">
        <v>18</v>
      </c>
      <c r="E62" t="s">
        <v>32</v>
      </c>
      <c r="F62" t="s">
        <v>27</v>
      </c>
      <c r="G62" t="s">
        <v>34</v>
      </c>
      <c r="H62" t="s">
        <v>35</v>
      </c>
      <c r="I62" t="s">
        <v>58</v>
      </c>
      <c r="J62" t="s">
        <v>24</v>
      </c>
      <c r="K62" t="s">
        <v>25</v>
      </c>
      <c r="L62">
        <v>3</v>
      </c>
      <c r="M62">
        <v>3</v>
      </c>
      <c r="N62">
        <v>4</v>
      </c>
      <c r="O62">
        <v>1</v>
      </c>
      <c r="P62">
        <v>208.43</v>
      </c>
      <c r="Q62">
        <v>25</v>
      </c>
      <c r="S62">
        <f t="shared" si="0"/>
        <v>557.6865165165168</v>
      </c>
      <c r="T62">
        <f t="shared" si="1"/>
        <v>153</v>
      </c>
      <c r="U62">
        <f t="shared" si="2"/>
        <v>1.9139139139139139</v>
      </c>
      <c r="V62">
        <f t="shared" si="3"/>
        <v>557.6865165165168</v>
      </c>
    </row>
    <row r="63" spans="1:22" x14ac:dyDescent="0.25">
      <c r="A63">
        <v>3499</v>
      </c>
      <c r="B63" s="1">
        <v>43368</v>
      </c>
      <c r="C63" t="s">
        <v>43</v>
      </c>
      <c r="D63" t="s">
        <v>18</v>
      </c>
      <c r="E63" t="s">
        <v>28</v>
      </c>
      <c r="F63" t="s">
        <v>20</v>
      </c>
      <c r="G63" t="s">
        <v>34</v>
      </c>
      <c r="H63" t="s">
        <v>41</v>
      </c>
      <c r="I63" t="s">
        <v>58</v>
      </c>
      <c r="J63" t="s">
        <v>24</v>
      </c>
      <c r="K63" t="s">
        <v>25</v>
      </c>
      <c r="L63">
        <v>5</v>
      </c>
      <c r="M63">
        <v>3</v>
      </c>
      <c r="N63">
        <v>5</v>
      </c>
      <c r="O63">
        <v>2</v>
      </c>
      <c r="P63">
        <v>762.45</v>
      </c>
      <c r="Q63">
        <v>47</v>
      </c>
      <c r="S63">
        <f t="shared" si="0"/>
        <v>557.6865165165168</v>
      </c>
      <c r="T63">
        <f t="shared" si="1"/>
        <v>153</v>
      </c>
      <c r="U63">
        <f t="shared" si="2"/>
        <v>1.9139139139139139</v>
      </c>
      <c r="V63">
        <f t="shared" si="3"/>
        <v>557.6865165165168</v>
      </c>
    </row>
    <row r="64" spans="1:22" x14ac:dyDescent="0.25">
      <c r="A64">
        <v>3500</v>
      </c>
      <c r="B64" s="1">
        <v>43424</v>
      </c>
      <c r="C64" t="s">
        <v>49</v>
      </c>
      <c r="D64" t="s">
        <v>18</v>
      </c>
      <c r="E64" t="s">
        <v>32</v>
      </c>
      <c r="F64" t="s">
        <v>33</v>
      </c>
      <c r="G64" t="s">
        <v>34</v>
      </c>
      <c r="H64" t="s">
        <v>66</v>
      </c>
      <c r="I64" t="s">
        <v>51</v>
      </c>
      <c r="J64" t="s">
        <v>24</v>
      </c>
      <c r="K64" t="s">
        <v>25</v>
      </c>
      <c r="L64">
        <v>4</v>
      </c>
      <c r="M64">
        <v>1</v>
      </c>
      <c r="N64">
        <v>4</v>
      </c>
      <c r="O64">
        <v>4</v>
      </c>
      <c r="P64">
        <v>779.79</v>
      </c>
      <c r="Q64">
        <v>18</v>
      </c>
      <c r="S64">
        <f t="shared" si="0"/>
        <v>557.6865165165168</v>
      </c>
      <c r="T64">
        <f t="shared" si="1"/>
        <v>153</v>
      </c>
      <c r="U64">
        <f t="shared" si="2"/>
        <v>1.9139139139139139</v>
      </c>
      <c r="V64">
        <f t="shared" si="3"/>
        <v>557.6865165165168</v>
      </c>
    </row>
    <row r="65" spans="1:22" x14ac:dyDescent="0.25">
      <c r="A65">
        <v>3502</v>
      </c>
      <c r="B65" s="1">
        <v>43739</v>
      </c>
      <c r="C65" t="s">
        <v>40</v>
      </c>
      <c r="D65" t="s">
        <v>18</v>
      </c>
      <c r="E65" t="s">
        <v>32</v>
      </c>
      <c r="F65" t="s">
        <v>20</v>
      </c>
      <c r="G65" t="s">
        <v>34</v>
      </c>
      <c r="H65" t="s">
        <v>56</v>
      </c>
      <c r="I65" t="s">
        <v>51</v>
      </c>
      <c r="J65" t="s">
        <v>30</v>
      </c>
      <c r="K65" t="s">
        <v>25</v>
      </c>
      <c r="L65">
        <v>5</v>
      </c>
      <c r="M65">
        <v>3</v>
      </c>
      <c r="N65">
        <v>5</v>
      </c>
      <c r="O65">
        <v>3</v>
      </c>
      <c r="P65">
        <v>427.12</v>
      </c>
      <c r="Q65">
        <v>43</v>
      </c>
      <c r="S65">
        <f t="shared" si="0"/>
        <v>557.6865165165168</v>
      </c>
      <c r="T65">
        <f t="shared" si="1"/>
        <v>153</v>
      </c>
      <c r="U65">
        <f t="shared" si="2"/>
        <v>1.9139139139139139</v>
      </c>
      <c r="V65">
        <f t="shared" si="3"/>
        <v>557.6865165165168</v>
      </c>
    </row>
    <row r="66" spans="1:22" x14ac:dyDescent="0.25">
      <c r="A66">
        <v>3503</v>
      </c>
      <c r="B66" s="1">
        <v>44581</v>
      </c>
      <c r="C66" t="s">
        <v>17</v>
      </c>
      <c r="D66" t="s">
        <v>18</v>
      </c>
      <c r="E66" t="s">
        <v>28</v>
      </c>
      <c r="F66" t="s">
        <v>27</v>
      </c>
      <c r="G66" t="s">
        <v>34</v>
      </c>
      <c r="H66" t="s">
        <v>62</v>
      </c>
      <c r="I66" t="s">
        <v>57</v>
      </c>
      <c r="J66" t="s">
        <v>30</v>
      </c>
      <c r="K66" t="s">
        <v>25</v>
      </c>
      <c r="L66">
        <v>5</v>
      </c>
      <c r="M66">
        <v>2</v>
      </c>
      <c r="N66">
        <v>3</v>
      </c>
      <c r="O66">
        <v>4</v>
      </c>
      <c r="P66">
        <v>996.35</v>
      </c>
      <c r="Q66">
        <v>71</v>
      </c>
      <c r="S66">
        <f t="shared" ref="S66:S129" si="4">AVERAGE(P:P)-1</f>
        <v>557.6865165165168</v>
      </c>
      <c r="T66">
        <f t="shared" ref="T66:T129" si="5">COUNTIF(D:D,"Inactive")</f>
        <v>153</v>
      </c>
      <c r="U66">
        <f t="shared" ref="U66:U129" si="6">AVERAGE(L:L)-1</f>
        <v>1.9139139139139139</v>
      </c>
      <c r="V66">
        <f t="shared" ref="V66:V129" si="7">AVERAGE(P:P)-1</f>
        <v>557.6865165165168</v>
      </c>
    </row>
    <row r="67" spans="1:22" x14ac:dyDescent="0.25">
      <c r="A67">
        <v>3504</v>
      </c>
      <c r="B67" s="1">
        <v>44479</v>
      </c>
      <c r="C67" t="s">
        <v>52</v>
      </c>
      <c r="D67" t="s">
        <v>18</v>
      </c>
      <c r="E67" t="s">
        <v>32</v>
      </c>
      <c r="F67" t="s">
        <v>33</v>
      </c>
      <c r="G67" t="s">
        <v>34</v>
      </c>
      <c r="H67" t="s">
        <v>38</v>
      </c>
      <c r="I67" t="s">
        <v>57</v>
      </c>
      <c r="J67" t="s">
        <v>30</v>
      </c>
      <c r="K67" t="s">
        <v>25</v>
      </c>
      <c r="L67">
        <v>3</v>
      </c>
      <c r="M67">
        <v>4</v>
      </c>
      <c r="N67">
        <v>3</v>
      </c>
      <c r="O67">
        <v>5</v>
      </c>
      <c r="P67">
        <v>963.23</v>
      </c>
      <c r="Q67">
        <v>41</v>
      </c>
      <c r="S67">
        <f t="shared" si="4"/>
        <v>557.6865165165168</v>
      </c>
      <c r="T67">
        <f t="shared" si="5"/>
        <v>153</v>
      </c>
      <c r="U67">
        <f t="shared" si="6"/>
        <v>1.9139139139139139</v>
      </c>
      <c r="V67">
        <f t="shared" si="7"/>
        <v>557.6865165165168</v>
      </c>
    </row>
    <row r="68" spans="1:22" x14ac:dyDescent="0.25">
      <c r="A68">
        <v>3505</v>
      </c>
      <c r="B68" s="1">
        <v>44072</v>
      </c>
      <c r="C68" t="s">
        <v>26</v>
      </c>
      <c r="D68" t="s">
        <v>18</v>
      </c>
      <c r="E68" t="s">
        <v>19</v>
      </c>
      <c r="F68" t="s">
        <v>33</v>
      </c>
      <c r="G68" t="s">
        <v>34</v>
      </c>
      <c r="H68" t="s">
        <v>41</v>
      </c>
      <c r="I68" t="s">
        <v>53</v>
      </c>
      <c r="J68" t="s">
        <v>30</v>
      </c>
      <c r="K68" t="s">
        <v>25</v>
      </c>
      <c r="L68">
        <v>4</v>
      </c>
      <c r="M68">
        <v>3</v>
      </c>
      <c r="N68">
        <v>2</v>
      </c>
      <c r="O68">
        <v>5</v>
      </c>
      <c r="P68">
        <v>260.97000000000003</v>
      </c>
      <c r="Q68">
        <v>77</v>
      </c>
      <c r="S68">
        <f t="shared" si="4"/>
        <v>557.6865165165168</v>
      </c>
      <c r="T68">
        <f t="shared" si="5"/>
        <v>153</v>
      </c>
      <c r="U68">
        <f t="shared" si="6"/>
        <v>1.9139139139139139</v>
      </c>
      <c r="V68">
        <f t="shared" si="7"/>
        <v>557.6865165165168</v>
      </c>
    </row>
    <row r="69" spans="1:22" x14ac:dyDescent="0.25">
      <c r="A69">
        <v>3506</v>
      </c>
      <c r="B69" s="1">
        <v>43704</v>
      </c>
      <c r="C69" t="s">
        <v>54</v>
      </c>
      <c r="D69" t="s">
        <v>18</v>
      </c>
      <c r="E69" t="s">
        <v>32</v>
      </c>
      <c r="F69" t="s">
        <v>33</v>
      </c>
      <c r="G69" t="s">
        <v>34</v>
      </c>
      <c r="H69" t="s">
        <v>41</v>
      </c>
      <c r="I69" t="s">
        <v>53</v>
      </c>
      <c r="J69" t="s">
        <v>30</v>
      </c>
      <c r="K69" t="s">
        <v>25</v>
      </c>
      <c r="L69">
        <v>2</v>
      </c>
      <c r="M69">
        <v>2</v>
      </c>
      <c r="N69">
        <v>3</v>
      </c>
      <c r="O69">
        <v>1</v>
      </c>
      <c r="P69">
        <v>781.81</v>
      </c>
      <c r="Q69">
        <v>31</v>
      </c>
      <c r="S69">
        <f t="shared" si="4"/>
        <v>557.6865165165168</v>
      </c>
      <c r="T69">
        <f t="shared" si="5"/>
        <v>153</v>
      </c>
      <c r="U69">
        <f t="shared" si="6"/>
        <v>1.9139139139139139</v>
      </c>
      <c r="V69">
        <f t="shared" si="7"/>
        <v>557.6865165165168</v>
      </c>
    </row>
    <row r="70" spans="1:22" x14ac:dyDescent="0.25">
      <c r="A70">
        <v>3507</v>
      </c>
      <c r="B70" s="1">
        <v>44252</v>
      </c>
      <c r="C70" t="s">
        <v>37</v>
      </c>
      <c r="D70" t="s">
        <v>18</v>
      </c>
      <c r="E70" t="s">
        <v>32</v>
      </c>
      <c r="F70" t="s">
        <v>27</v>
      </c>
      <c r="G70" t="s">
        <v>34</v>
      </c>
      <c r="H70" t="s">
        <v>62</v>
      </c>
      <c r="I70" t="s">
        <v>45</v>
      </c>
      <c r="J70" t="s">
        <v>30</v>
      </c>
      <c r="K70" t="s">
        <v>25</v>
      </c>
      <c r="L70">
        <v>2</v>
      </c>
      <c r="M70">
        <v>5</v>
      </c>
      <c r="N70">
        <v>2</v>
      </c>
      <c r="O70">
        <v>4</v>
      </c>
      <c r="P70">
        <v>651.77</v>
      </c>
      <c r="Q70">
        <v>48</v>
      </c>
      <c r="S70">
        <f t="shared" si="4"/>
        <v>557.6865165165168</v>
      </c>
      <c r="T70">
        <f t="shared" si="5"/>
        <v>153</v>
      </c>
      <c r="U70">
        <f t="shared" si="6"/>
        <v>1.9139139139139139</v>
      </c>
      <c r="V70">
        <f t="shared" si="7"/>
        <v>557.6865165165168</v>
      </c>
    </row>
    <row r="71" spans="1:22" x14ac:dyDescent="0.25">
      <c r="A71">
        <v>3508</v>
      </c>
      <c r="B71" s="1">
        <v>44390</v>
      </c>
      <c r="C71" t="s">
        <v>17</v>
      </c>
      <c r="D71" t="s">
        <v>18</v>
      </c>
      <c r="E71" t="s">
        <v>32</v>
      </c>
      <c r="F71" t="s">
        <v>33</v>
      </c>
      <c r="G71" t="s">
        <v>34</v>
      </c>
      <c r="H71" t="s">
        <v>29</v>
      </c>
      <c r="I71" t="s">
        <v>48</v>
      </c>
      <c r="J71" t="s">
        <v>30</v>
      </c>
      <c r="K71" t="s">
        <v>25</v>
      </c>
      <c r="L71">
        <v>1</v>
      </c>
      <c r="M71">
        <v>5</v>
      </c>
      <c r="N71">
        <v>4</v>
      </c>
      <c r="O71">
        <v>1</v>
      </c>
      <c r="P71">
        <v>568.22</v>
      </c>
      <c r="Q71">
        <v>79</v>
      </c>
      <c r="S71">
        <f t="shared" si="4"/>
        <v>557.6865165165168</v>
      </c>
      <c r="T71">
        <f t="shared" si="5"/>
        <v>153</v>
      </c>
      <c r="U71">
        <f t="shared" si="6"/>
        <v>1.9139139139139139</v>
      </c>
      <c r="V71">
        <f t="shared" si="7"/>
        <v>557.6865165165168</v>
      </c>
    </row>
    <row r="72" spans="1:22" x14ac:dyDescent="0.25">
      <c r="A72">
        <v>3509</v>
      </c>
      <c r="B72" s="1">
        <v>44300</v>
      </c>
      <c r="C72" t="s">
        <v>40</v>
      </c>
      <c r="D72" t="s">
        <v>18</v>
      </c>
      <c r="E72" t="s">
        <v>28</v>
      </c>
      <c r="F72" t="s">
        <v>20</v>
      </c>
      <c r="G72" t="s">
        <v>34</v>
      </c>
      <c r="H72" t="s">
        <v>35</v>
      </c>
      <c r="I72" t="s">
        <v>58</v>
      </c>
      <c r="J72" t="s">
        <v>24</v>
      </c>
      <c r="K72" t="s">
        <v>25</v>
      </c>
      <c r="L72">
        <v>4</v>
      </c>
      <c r="M72">
        <v>5</v>
      </c>
      <c r="N72">
        <v>2</v>
      </c>
      <c r="O72">
        <v>4</v>
      </c>
      <c r="P72">
        <v>612.1</v>
      </c>
      <c r="Q72">
        <v>44</v>
      </c>
      <c r="S72">
        <f t="shared" si="4"/>
        <v>557.6865165165168</v>
      </c>
      <c r="T72">
        <f t="shared" si="5"/>
        <v>153</v>
      </c>
      <c r="U72">
        <f t="shared" si="6"/>
        <v>1.9139139139139139</v>
      </c>
      <c r="V72">
        <f t="shared" si="7"/>
        <v>557.6865165165168</v>
      </c>
    </row>
    <row r="73" spans="1:22" x14ac:dyDescent="0.25">
      <c r="A73">
        <v>3510</v>
      </c>
      <c r="B73" s="1">
        <v>43871</v>
      </c>
      <c r="C73" t="s">
        <v>60</v>
      </c>
      <c r="D73" t="s">
        <v>18</v>
      </c>
      <c r="E73" t="s">
        <v>28</v>
      </c>
      <c r="F73" t="s">
        <v>27</v>
      </c>
      <c r="G73" t="s">
        <v>34</v>
      </c>
      <c r="H73" t="s">
        <v>38</v>
      </c>
      <c r="I73" t="s">
        <v>58</v>
      </c>
      <c r="J73" t="s">
        <v>24</v>
      </c>
      <c r="K73" t="s">
        <v>25</v>
      </c>
      <c r="L73">
        <v>2</v>
      </c>
      <c r="M73">
        <v>4</v>
      </c>
      <c r="N73">
        <v>3</v>
      </c>
      <c r="O73">
        <v>4</v>
      </c>
      <c r="P73">
        <v>473.23</v>
      </c>
      <c r="Q73">
        <v>64</v>
      </c>
      <c r="S73">
        <f t="shared" si="4"/>
        <v>557.6865165165168</v>
      </c>
      <c r="T73">
        <f t="shared" si="5"/>
        <v>153</v>
      </c>
      <c r="U73">
        <f t="shared" si="6"/>
        <v>1.9139139139139139</v>
      </c>
      <c r="V73">
        <f t="shared" si="7"/>
        <v>557.6865165165168</v>
      </c>
    </row>
    <row r="74" spans="1:22" x14ac:dyDescent="0.25">
      <c r="A74">
        <v>3511</v>
      </c>
      <c r="B74" s="1">
        <v>44425</v>
      </c>
      <c r="C74" t="s">
        <v>43</v>
      </c>
      <c r="D74" t="s">
        <v>18</v>
      </c>
      <c r="E74" t="s">
        <v>28</v>
      </c>
      <c r="F74" t="s">
        <v>33</v>
      </c>
      <c r="G74" t="s">
        <v>34</v>
      </c>
      <c r="H74" t="s">
        <v>22</v>
      </c>
      <c r="I74" t="s">
        <v>58</v>
      </c>
      <c r="J74" t="s">
        <v>24</v>
      </c>
      <c r="K74" t="s">
        <v>25</v>
      </c>
      <c r="L74">
        <v>5</v>
      </c>
      <c r="M74">
        <v>4</v>
      </c>
      <c r="N74">
        <v>5</v>
      </c>
      <c r="O74">
        <v>3</v>
      </c>
      <c r="P74">
        <v>344.44</v>
      </c>
      <c r="Q74">
        <v>24</v>
      </c>
      <c r="S74">
        <f t="shared" si="4"/>
        <v>557.6865165165168</v>
      </c>
      <c r="T74">
        <f t="shared" si="5"/>
        <v>153</v>
      </c>
      <c r="U74">
        <f t="shared" si="6"/>
        <v>1.9139139139139139</v>
      </c>
      <c r="V74">
        <f t="shared" si="7"/>
        <v>557.6865165165168</v>
      </c>
    </row>
    <row r="75" spans="1:22" x14ac:dyDescent="0.25">
      <c r="A75">
        <v>3514</v>
      </c>
      <c r="B75" s="1">
        <v>43936</v>
      </c>
      <c r="C75" t="s">
        <v>40</v>
      </c>
      <c r="D75" t="s">
        <v>18</v>
      </c>
      <c r="E75" t="s">
        <v>32</v>
      </c>
      <c r="F75" t="s">
        <v>33</v>
      </c>
      <c r="G75" t="s">
        <v>34</v>
      </c>
      <c r="H75" t="s">
        <v>67</v>
      </c>
      <c r="I75" t="s">
        <v>51</v>
      </c>
      <c r="J75" t="s">
        <v>30</v>
      </c>
      <c r="K75" t="s">
        <v>25</v>
      </c>
      <c r="L75">
        <v>2</v>
      </c>
      <c r="M75">
        <v>1</v>
      </c>
      <c r="N75">
        <v>1</v>
      </c>
      <c r="O75">
        <v>3</v>
      </c>
      <c r="P75">
        <v>975.46</v>
      </c>
      <c r="Q75">
        <v>62</v>
      </c>
      <c r="S75">
        <f t="shared" si="4"/>
        <v>557.6865165165168</v>
      </c>
      <c r="T75">
        <f t="shared" si="5"/>
        <v>153</v>
      </c>
      <c r="U75">
        <f t="shared" si="6"/>
        <v>1.9139139139139139</v>
      </c>
      <c r="V75">
        <f t="shared" si="7"/>
        <v>557.6865165165168</v>
      </c>
    </row>
    <row r="76" spans="1:22" x14ac:dyDescent="0.25">
      <c r="A76">
        <v>3516</v>
      </c>
      <c r="B76" s="1">
        <v>44658</v>
      </c>
      <c r="C76" t="s">
        <v>52</v>
      </c>
      <c r="D76" t="s">
        <v>18</v>
      </c>
      <c r="E76" t="s">
        <v>19</v>
      </c>
      <c r="F76" t="s">
        <v>33</v>
      </c>
      <c r="G76" t="s">
        <v>34</v>
      </c>
      <c r="H76" t="s">
        <v>62</v>
      </c>
      <c r="I76" t="s">
        <v>57</v>
      </c>
      <c r="J76" t="s">
        <v>30</v>
      </c>
      <c r="K76" t="s">
        <v>25</v>
      </c>
      <c r="L76">
        <v>2</v>
      </c>
      <c r="M76">
        <v>3</v>
      </c>
      <c r="N76">
        <v>5</v>
      </c>
      <c r="O76">
        <v>1</v>
      </c>
      <c r="P76">
        <v>570.41999999999996</v>
      </c>
      <c r="Q76">
        <v>34</v>
      </c>
      <c r="S76">
        <f t="shared" si="4"/>
        <v>557.6865165165168</v>
      </c>
      <c r="T76">
        <f t="shared" si="5"/>
        <v>153</v>
      </c>
      <c r="U76">
        <f t="shared" si="6"/>
        <v>1.9139139139139139</v>
      </c>
      <c r="V76">
        <f t="shared" si="7"/>
        <v>557.6865165165168</v>
      </c>
    </row>
    <row r="77" spans="1:22" x14ac:dyDescent="0.25">
      <c r="A77">
        <v>3517</v>
      </c>
      <c r="B77" s="1">
        <v>43880</v>
      </c>
      <c r="C77" t="s">
        <v>26</v>
      </c>
      <c r="D77" t="s">
        <v>18</v>
      </c>
      <c r="E77" t="s">
        <v>28</v>
      </c>
      <c r="F77" t="s">
        <v>27</v>
      </c>
      <c r="G77" t="s">
        <v>34</v>
      </c>
      <c r="H77" t="s">
        <v>56</v>
      </c>
      <c r="I77" t="s">
        <v>53</v>
      </c>
      <c r="J77" t="s">
        <v>30</v>
      </c>
      <c r="K77" t="s">
        <v>25</v>
      </c>
      <c r="L77">
        <v>4</v>
      </c>
      <c r="M77">
        <v>1</v>
      </c>
      <c r="N77">
        <v>1</v>
      </c>
      <c r="O77">
        <v>3</v>
      </c>
      <c r="P77">
        <v>391.31</v>
      </c>
      <c r="Q77">
        <v>78</v>
      </c>
      <c r="S77">
        <f t="shared" si="4"/>
        <v>557.6865165165168</v>
      </c>
      <c r="T77">
        <f t="shared" si="5"/>
        <v>153</v>
      </c>
      <c r="U77">
        <f t="shared" si="6"/>
        <v>1.9139139139139139</v>
      </c>
      <c r="V77">
        <f t="shared" si="7"/>
        <v>557.6865165165168</v>
      </c>
    </row>
    <row r="78" spans="1:22" x14ac:dyDescent="0.25">
      <c r="A78">
        <v>3518</v>
      </c>
      <c r="B78" s="1">
        <v>44296</v>
      </c>
      <c r="C78" t="s">
        <v>54</v>
      </c>
      <c r="D78" t="s">
        <v>18</v>
      </c>
      <c r="E78" t="s">
        <v>19</v>
      </c>
      <c r="F78" t="s">
        <v>33</v>
      </c>
      <c r="G78" t="s">
        <v>34</v>
      </c>
      <c r="H78" t="s">
        <v>44</v>
      </c>
      <c r="I78" t="s">
        <v>45</v>
      </c>
      <c r="J78" t="s">
        <v>24</v>
      </c>
      <c r="K78" t="s">
        <v>25</v>
      </c>
      <c r="L78">
        <v>4</v>
      </c>
      <c r="M78">
        <v>2</v>
      </c>
      <c r="N78">
        <v>5</v>
      </c>
      <c r="O78">
        <v>3</v>
      </c>
      <c r="P78">
        <v>826.58</v>
      </c>
      <c r="Q78">
        <v>52</v>
      </c>
      <c r="S78">
        <f t="shared" si="4"/>
        <v>557.6865165165168</v>
      </c>
      <c r="T78">
        <f t="shared" si="5"/>
        <v>153</v>
      </c>
      <c r="U78">
        <f t="shared" si="6"/>
        <v>1.9139139139139139</v>
      </c>
      <c r="V78">
        <f t="shared" si="7"/>
        <v>557.6865165165168</v>
      </c>
    </row>
    <row r="79" spans="1:22" x14ac:dyDescent="0.25">
      <c r="A79">
        <v>3519</v>
      </c>
      <c r="B79" s="1">
        <v>44549</v>
      </c>
      <c r="C79" t="s">
        <v>37</v>
      </c>
      <c r="D79" t="s">
        <v>18</v>
      </c>
      <c r="E79" t="s">
        <v>28</v>
      </c>
      <c r="F79" t="s">
        <v>20</v>
      </c>
      <c r="G79" t="s">
        <v>34</v>
      </c>
      <c r="H79" t="s">
        <v>29</v>
      </c>
      <c r="I79" t="s">
        <v>45</v>
      </c>
      <c r="J79" t="s">
        <v>30</v>
      </c>
      <c r="K79" t="s">
        <v>25</v>
      </c>
      <c r="L79">
        <v>1</v>
      </c>
      <c r="M79">
        <v>3</v>
      </c>
      <c r="N79">
        <v>4</v>
      </c>
      <c r="O79">
        <v>4</v>
      </c>
      <c r="P79">
        <v>930.69</v>
      </c>
      <c r="Q79">
        <v>70</v>
      </c>
      <c r="S79">
        <f t="shared" si="4"/>
        <v>557.6865165165168</v>
      </c>
      <c r="T79">
        <f t="shared" si="5"/>
        <v>153</v>
      </c>
      <c r="U79">
        <f t="shared" si="6"/>
        <v>1.9139139139139139</v>
      </c>
      <c r="V79">
        <f t="shared" si="7"/>
        <v>557.6865165165168</v>
      </c>
    </row>
    <row r="80" spans="1:22" x14ac:dyDescent="0.25">
      <c r="A80">
        <v>3520</v>
      </c>
      <c r="B80" s="1">
        <v>44178</v>
      </c>
      <c r="C80" t="s">
        <v>37</v>
      </c>
      <c r="D80" t="s">
        <v>18</v>
      </c>
      <c r="E80" t="s">
        <v>32</v>
      </c>
      <c r="F80" t="s">
        <v>20</v>
      </c>
      <c r="G80" t="s">
        <v>34</v>
      </c>
      <c r="H80" t="s">
        <v>62</v>
      </c>
      <c r="I80" t="s">
        <v>36</v>
      </c>
      <c r="J80" t="s">
        <v>24</v>
      </c>
      <c r="K80" t="s">
        <v>25</v>
      </c>
      <c r="L80">
        <v>5</v>
      </c>
      <c r="M80">
        <v>1</v>
      </c>
      <c r="N80">
        <v>1</v>
      </c>
      <c r="O80">
        <v>1</v>
      </c>
      <c r="P80">
        <v>607.92999999999995</v>
      </c>
      <c r="Q80">
        <v>57</v>
      </c>
      <c r="S80">
        <f t="shared" si="4"/>
        <v>557.6865165165168</v>
      </c>
      <c r="T80">
        <f t="shared" si="5"/>
        <v>153</v>
      </c>
      <c r="U80">
        <f t="shared" si="6"/>
        <v>1.9139139139139139</v>
      </c>
      <c r="V80">
        <f t="shared" si="7"/>
        <v>557.6865165165168</v>
      </c>
    </row>
    <row r="81" spans="1:22" x14ac:dyDescent="0.25">
      <c r="A81">
        <v>3521</v>
      </c>
      <c r="B81" s="1">
        <v>43522</v>
      </c>
      <c r="C81" t="s">
        <v>43</v>
      </c>
      <c r="D81" t="s">
        <v>18</v>
      </c>
      <c r="E81" t="s">
        <v>19</v>
      </c>
      <c r="F81" t="s">
        <v>20</v>
      </c>
      <c r="G81" t="s">
        <v>34</v>
      </c>
      <c r="H81" t="s">
        <v>38</v>
      </c>
      <c r="I81" t="s">
        <v>58</v>
      </c>
      <c r="J81" t="s">
        <v>24</v>
      </c>
      <c r="K81" t="s">
        <v>25</v>
      </c>
      <c r="L81">
        <v>1</v>
      </c>
      <c r="M81">
        <v>3</v>
      </c>
      <c r="N81">
        <v>3</v>
      </c>
      <c r="O81">
        <v>5</v>
      </c>
      <c r="P81">
        <v>723.5</v>
      </c>
      <c r="Q81">
        <v>70</v>
      </c>
      <c r="S81">
        <f t="shared" si="4"/>
        <v>557.6865165165168</v>
      </c>
      <c r="T81">
        <f t="shared" si="5"/>
        <v>153</v>
      </c>
      <c r="U81">
        <f t="shared" si="6"/>
        <v>1.9139139139139139</v>
      </c>
      <c r="V81">
        <f t="shared" si="7"/>
        <v>557.6865165165168</v>
      </c>
    </row>
    <row r="82" spans="1:22" x14ac:dyDescent="0.25">
      <c r="A82">
        <v>3522</v>
      </c>
      <c r="B82" s="1">
        <v>43892</v>
      </c>
      <c r="C82" t="s">
        <v>40</v>
      </c>
      <c r="D82" t="s">
        <v>18</v>
      </c>
      <c r="E82" t="s">
        <v>32</v>
      </c>
      <c r="F82" t="s">
        <v>20</v>
      </c>
      <c r="G82" t="s">
        <v>34</v>
      </c>
      <c r="H82" t="s">
        <v>56</v>
      </c>
      <c r="I82" t="s">
        <v>58</v>
      </c>
      <c r="J82" t="s">
        <v>24</v>
      </c>
      <c r="K82" t="s">
        <v>25</v>
      </c>
      <c r="L82">
        <v>1</v>
      </c>
      <c r="M82">
        <v>5</v>
      </c>
      <c r="N82">
        <v>4</v>
      </c>
      <c r="O82">
        <v>5</v>
      </c>
      <c r="P82">
        <v>394.04</v>
      </c>
      <c r="Q82">
        <v>37</v>
      </c>
      <c r="S82">
        <f t="shared" si="4"/>
        <v>557.6865165165168</v>
      </c>
      <c r="T82">
        <f t="shared" si="5"/>
        <v>153</v>
      </c>
      <c r="U82">
        <f t="shared" si="6"/>
        <v>1.9139139139139139</v>
      </c>
      <c r="V82">
        <f t="shared" si="7"/>
        <v>557.6865165165168</v>
      </c>
    </row>
    <row r="83" spans="1:22" x14ac:dyDescent="0.25">
      <c r="A83">
        <v>3523</v>
      </c>
      <c r="B83" s="1">
        <v>44372</v>
      </c>
      <c r="C83" t="s">
        <v>17</v>
      </c>
      <c r="D83" t="s">
        <v>18</v>
      </c>
      <c r="E83" t="s">
        <v>32</v>
      </c>
      <c r="F83" t="s">
        <v>27</v>
      </c>
      <c r="G83" t="s">
        <v>34</v>
      </c>
      <c r="H83" t="s">
        <v>38</v>
      </c>
      <c r="I83" t="s">
        <v>58</v>
      </c>
      <c r="J83" t="s">
        <v>24</v>
      </c>
      <c r="K83" t="s">
        <v>25</v>
      </c>
      <c r="L83">
        <v>3</v>
      </c>
      <c r="M83">
        <v>2</v>
      </c>
      <c r="N83">
        <v>3</v>
      </c>
      <c r="O83">
        <v>2</v>
      </c>
      <c r="P83">
        <v>451.18</v>
      </c>
      <c r="Q83">
        <v>43</v>
      </c>
      <c r="S83">
        <f t="shared" si="4"/>
        <v>557.6865165165168</v>
      </c>
      <c r="T83">
        <f t="shared" si="5"/>
        <v>153</v>
      </c>
      <c r="U83">
        <f t="shared" si="6"/>
        <v>1.9139139139139139</v>
      </c>
      <c r="V83">
        <f t="shared" si="7"/>
        <v>557.6865165165168</v>
      </c>
    </row>
    <row r="84" spans="1:22" x14ac:dyDescent="0.25">
      <c r="A84">
        <v>3526</v>
      </c>
      <c r="B84" s="1">
        <v>44819</v>
      </c>
      <c r="C84" t="s">
        <v>49</v>
      </c>
      <c r="D84" t="s">
        <v>18</v>
      </c>
      <c r="E84" t="s">
        <v>32</v>
      </c>
      <c r="F84" t="s">
        <v>33</v>
      </c>
      <c r="G84" t="s">
        <v>34</v>
      </c>
      <c r="H84" t="s">
        <v>38</v>
      </c>
      <c r="I84" t="s">
        <v>51</v>
      </c>
      <c r="J84" t="s">
        <v>30</v>
      </c>
      <c r="K84" t="s">
        <v>25</v>
      </c>
      <c r="L84">
        <v>1</v>
      </c>
      <c r="M84">
        <v>5</v>
      </c>
      <c r="N84">
        <v>3</v>
      </c>
      <c r="O84">
        <v>2</v>
      </c>
      <c r="P84">
        <v>360.5</v>
      </c>
      <c r="Q84">
        <v>74</v>
      </c>
      <c r="S84">
        <f t="shared" si="4"/>
        <v>557.6865165165168</v>
      </c>
      <c r="T84">
        <f t="shared" si="5"/>
        <v>153</v>
      </c>
      <c r="U84">
        <f t="shared" si="6"/>
        <v>1.9139139139139139</v>
      </c>
      <c r="V84">
        <f t="shared" si="7"/>
        <v>557.6865165165168</v>
      </c>
    </row>
    <row r="85" spans="1:22" x14ac:dyDescent="0.25">
      <c r="A85">
        <v>3527</v>
      </c>
      <c r="B85" s="1">
        <v>43952</v>
      </c>
      <c r="C85" t="s">
        <v>31</v>
      </c>
      <c r="D85" t="s">
        <v>18</v>
      </c>
      <c r="E85" t="s">
        <v>32</v>
      </c>
      <c r="F85" t="s">
        <v>33</v>
      </c>
      <c r="G85" t="s">
        <v>34</v>
      </c>
      <c r="H85" t="s">
        <v>29</v>
      </c>
      <c r="I85" t="s">
        <v>57</v>
      </c>
      <c r="J85" t="s">
        <v>30</v>
      </c>
      <c r="K85" t="s">
        <v>25</v>
      </c>
      <c r="L85">
        <v>1</v>
      </c>
      <c r="M85">
        <v>3</v>
      </c>
      <c r="N85">
        <v>2</v>
      </c>
      <c r="O85">
        <v>4</v>
      </c>
      <c r="P85">
        <v>396.28</v>
      </c>
      <c r="Q85">
        <v>46</v>
      </c>
      <c r="S85">
        <f t="shared" si="4"/>
        <v>557.6865165165168</v>
      </c>
      <c r="T85">
        <f t="shared" si="5"/>
        <v>153</v>
      </c>
      <c r="U85">
        <f t="shared" si="6"/>
        <v>1.9139139139139139</v>
      </c>
      <c r="V85">
        <f t="shared" si="7"/>
        <v>557.6865165165168</v>
      </c>
    </row>
    <row r="86" spans="1:22" x14ac:dyDescent="0.25">
      <c r="A86">
        <v>3528</v>
      </c>
      <c r="B86" s="1">
        <v>44847</v>
      </c>
      <c r="C86" t="s">
        <v>60</v>
      </c>
      <c r="D86" t="s">
        <v>18</v>
      </c>
      <c r="E86" t="s">
        <v>32</v>
      </c>
      <c r="F86" t="s">
        <v>20</v>
      </c>
      <c r="G86" t="s">
        <v>34</v>
      </c>
      <c r="H86" t="s">
        <v>22</v>
      </c>
      <c r="I86" t="s">
        <v>57</v>
      </c>
      <c r="J86" t="s">
        <v>30</v>
      </c>
      <c r="K86" t="s">
        <v>25</v>
      </c>
      <c r="L86">
        <v>5</v>
      </c>
      <c r="M86">
        <v>2</v>
      </c>
      <c r="N86">
        <v>2</v>
      </c>
      <c r="O86">
        <v>1</v>
      </c>
      <c r="P86">
        <v>465.96</v>
      </c>
      <c r="Q86">
        <v>31</v>
      </c>
      <c r="S86">
        <f t="shared" si="4"/>
        <v>557.6865165165168</v>
      </c>
      <c r="T86">
        <f t="shared" si="5"/>
        <v>153</v>
      </c>
      <c r="U86">
        <f t="shared" si="6"/>
        <v>1.9139139139139139</v>
      </c>
      <c r="V86">
        <f t="shared" si="7"/>
        <v>557.6865165165168</v>
      </c>
    </row>
    <row r="87" spans="1:22" x14ac:dyDescent="0.25">
      <c r="A87">
        <v>3529</v>
      </c>
      <c r="B87" s="1">
        <v>43833</v>
      </c>
      <c r="C87" t="s">
        <v>52</v>
      </c>
      <c r="D87" t="s">
        <v>18</v>
      </c>
      <c r="E87" t="s">
        <v>28</v>
      </c>
      <c r="F87" t="s">
        <v>20</v>
      </c>
      <c r="G87" t="s">
        <v>34</v>
      </c>
      <c r="H87" t="s">
        <v>41</v>
      </c>
      <c r="I87" t="s">
        <v>53</v>
      </c>
      <c r="J87" t="s">
        <v>30</v>
      </c>
      <c r="K87" t="s">
        <v>25</v>
      </c>
      <c r="L87">
        <v>2</v>
      </c>
      <c r="M87">
        <v>3</v>
      </c>
      <c r="N87">
        <v>4</v>
      </c>
      <c r="O87">
        <v>1</v>
      </c>
      <c r="P87">
        <v>515.55999999999995</v>
      </c>
      <c r="Q87">
        <v>26</v>
      </c>
      <c r="S87">
        <f t="shared" si="4"/>
        <v>557.6865165165168</v>
      </c>
      <c r="T87">
        <f t="shared" si="5"/>
        <v>153</v>
      </c>
      <c r="U87">
        <f t="shared" si="6"/>
        <v>1.9139139139139139</v>
      </c>
      <c r="V87">
        <f t="shared" si="7"/>
        <v>557.6865165165168</v>
      </c>
    </row>
    <row r="88" spans="1:22" x14ac:dyDescent="0.25">
      <c r="A88">
        <v>3530</v>
      </c>
      <c r="B88" s="1">
        <v>43782</v>
      </c>
      <c r="C88" t="s">
        <v>37</v>
      </c>
      <c r="D88" t="s">
        <v>18</v>
      </c>
      <c r="E88" t="s">
        <v>32</v>
      </c>
      <c r="F88" t="s">
        <v>33</v>
      </c>
      <c r="G88" t="s">
        <v>34</v>
      </c>
      <c r="H88" t="s">
        <v>41</v>
      </c>
      <c r="I88" t="s">
        <v>45</v>
      </c>
      <c r="J88" t="s">
        <v>24</v>
      </c>
      <c r="K88" t="s">
        <v>25</v>
      </c>
      <c r="L88">
        <v>1</v>
      </c>
      <c r="M88">
        <v>2</v>
      </c>
      <c r="N88">
        <v>5</v>
      </c>
      <c r="O88">
        <v>2</v>
      </c>
      <c r="P88">
        <v>496.85</v>
      </c>
      <c r="Q88">
        <v>26</v>
      </c>
      <c r="S88">
        <f t="shared" si="4"/>
        <v>557.6865165165168</v>
      </c>
      <c r="T88">
        <f t="shared" si="5"/>
        <v>153</v>
      </c>
      <c r="U88">
        <f t="shared" si="6"/>
        <v>1.9139139139139139</v>
      </c>
      <c r="V88">
        <f t="shared" si="7"/>
        <v>557.6865165165168</v>
      </c>
    </row>
    <row r="89" spans="1:22" x14ac:dyDescent="0.25">
      <c r="A89">
        <v>3531</v>
      </c>
      <c r="B89" s="1">
        <v>45094</v>
      </c>
      <c r="C89" t="s">
        <v>43</v>
      </c>
      <c r="D89" t="s">
        <v>18</v>
      </c>
      <c r="E89" t="s">
        <v>32</v>
      </c>
      <c r="F89" t="s">
        <v>20</v>
      </c>
      <c r="G89" t="s">
        <v>34</v>
      </c>
      <c r="H89" t="s">
        <v>62</v>
      </c>
      <c r="I89" t="s">
        <v>45</v>
      </c>
      <c r="J89" t="s">
        <v>30</v>
      </c>
      <c r="K89" t="s">
        <v>25</v>
      </c>
      <c r="L89">
        <v>2</v>
      </c>
      <c r="M89">
        <v>4</v>
      </c>
      <c r="N89">
        <v>4</v>
      </c>
      <c r="O89">
        <v>3</v>
      </c>
      <c r="P89">
        <v>629.46</v>
      </c>
      <c r="Q89">
        <v>80</v>
      </c>
      <c r="S89">
        <f t="shared" si="4"/>
        <v>557.6865165165168</v>
      </c>
      <c r="T89">
        <f t="shared" si="5"/>
        <v>153</v>
      </c>
      <c r="U89">
        <f t="shared" si="6"/>
        <v>1.9139139139139139</v>
      </c>
      <c r="V89">
        <f t="shared" si="7"/>
        <v>557.6865165165168</v>
      </c>
    </row>
    <row r="90" spans="1:22" x14ac:dyDescent="0.25">
      <c r="A90">
        <v>3532</v>
      </c>
      <c r="B90" s="1">
        <v>44483</v>
      </c>
      <c r="C90" t="s">
        <v>26</v>
      </c>
      <c r="D90" t="s">
        <v>18</v>
      </c>
      <c r="E90" t="s">
        <v>28</v>
      </c>
      <c r="F90" t="s">
        <v>33</v>
      </c>
      <c r="G90" t="s">
        <v>61</v>
      </c>
      <c r="H90" t="s">
        <v>69</v>
      </c>
      <c r="I90" t="s">
        <v>48</v>
      </c>
      <c r="J90" t="s">
        <v>24</v>
      </c>
      <c r="K90" t="s">
        <v>25</v>
      </c>
      <c r="L90">
        <v>2</v>
      </c>
      <c r="M90">
        <v>2</v>
      </c>
      <c r="N90">
        <v>5</v>
      </c>
      <c r="O90">
        <v>2</v>
      </c>
      <c r="P90">
        <v>771.61</v>
      </c>
      <c r="Q90">
        <v>55</v>
      </c>
      <c r="S90">
        <f t="shared" si="4"/>
        <v>557.6865165165168</v>
      </c>
      <c r="T90">
        <f t="shared" si="5"/>
        <v>153</v>
      </c>
      <c r="U90">
        <f t="shared" si="6"/>
        <v>1.9139139139139139</v>
      </c>
      <c r="V90">
        <f t="shared" si="7"/>
        <v>557.6865165165168</v>
      </c>
    </row>
    <row r="91" spans="1:22" x14ac:dyDescent="0.25">
      <c r="A91">
        <v>3533</v>
      </c>
      <c r="B91" s="1">
        <v>44348</v>
      </c>
      <c r="C91" t="s">
        <v>54</v>
      </c>
      <c r="D91" t="s">
        <v>18</v>
      </c>
      <c r="E91" t="s">
        <v>19</v>
      </c>
      <c r="F91" t="s">
        <v>33</v>
      </c>
      <c r="G91" t="s">
        <v>34</v>
      </c>
      <c r="H91" t="s">
        <v>35</v>
      </c>
      <c r="I91" t="s">
        <v>36</v>
      </c>
      <c r="J91" t="s">
        <v>30</v>
      </c>
      <c r="K91" t="s">
        <v>25</v>
      </c>
      <c r="L91">
        <v>2</v>
      </c>
      <c r="M91">
        <v>5</v>
      </c>
      <c r="N91">
        <v>2</v>
      </c>
      <c r="O91">
        <v>4</v>
      </c>
      <c r="P91">
        <v>418.4</v>
      </c>
      <c r="Q91">
        <v>55</v>
      </c>
      <c r="S91">
        <f t="shared" si="4"/>
        <v>557.6865165165168</v>
      </c>
      <c r="T91">
        <f t="shared" si="5"/>
        <v>153</v>
      </c>
      <c r="U91">
        <f t="shared" si="6"/>
        <v>1.9139139139139139</v>
      </c>
      <c r="V91">
        <f t="shared" si="7"/>
        <v>557.6865165165168</v>
      </c>
    </row>
    <row r="92" spans="1:22" x14ac:dyDescent="0.25">
      <c r="A92">
        <v>3534</v>
      </c>
      <c r="B92" s="1">
        <v>43357</v>
      </c>
      <c r="C92" t="s">
        <v>37</v>
      </c>
      <c r="D92" t="s">
        <v>18</v>
      </c>
      <c r="E92" t="s">
        <v>32</v>
      </c>
      <c r="F92" t="s">
        <v>27</v>
      </c>
      <c r="G92" t="s">
        <v>34</v>
      </c>
      <c r="H92" t="s">
        <v>47</v>
      </c>
      <c r="I92" t="s">
        <v>58</v>
      </c>
      <c r="J92" t="s">
        <v>24</v>
      </c>
      <c r="K92" t="s">
        <v>25</v>
      </c>
      <c r="L92">
        <v>4</v>
      </c>
      <c r="M92">
        <v>3</v>
      </c>
      <c r="N92">
        <v>2</v>
      </c>
      <c r="O92">
        <v>3</v>
      </c>
      <c r="P92">
        <v>900.96</v>
      </c>
      <c r="Q92">
        <v>59</v>
      </c>
      <c r="S92">
        <f t="shared" si="4"/>
        <v>557.6865165165168</v>
      </c>
      <c r="T92">
        <f t="shared" si="5"/>
        <v>153</v>
      </c>
      <c r="U92">
        <f t="shared" si="6"/>
        <v>1.9139139139139139</v>
      </c>
      <c r="V92">
        <f t="shared" si="7"/>
        <v>557.6865165165168</v>
      </c>
    </row>
    <row r="93" spans="1:22" x14ac:dyDescent="0.25">
      <c r="A93">
        <v>3535</v>
      </c>
      <c r="B93" s="1">
        <v>43445</v>
      </c>
      <c r="C93" t="s">
        <v>60</v>
      </c>
      <c r="D93" t="s">
        <v>18</v>
      </c>
      <c r="E93" t="s">
        <v>32</v>
      </c>
      <c r="F93" t="s">
        <v>27</v>
      </c>
      <c r="G93" t="s">
        <v>34</v>
      </c>
      <c r="H93" t="s">
        <v>63</v>
      </c>
      <c r="I93" t="s">
        <v>58</v>
      </c>
      <c r="J93" t="s">
        <v>24</v>
      </c>
      <c r="K93" t="s">
        <v>25</v>
      </c>
      <c r="L93">
        <v>1</v>
      </c>
      <c r="M93">
        <v>5</v>
      </c>
      <c r="N93">
        <v>1</v>
      </c>
      <c r="O93">
        <v>1</v>
      </c>
      <c r="P93">
        <v>936.96</v>
      </c>
      <c r="Q93">
        <v>24</v>
      </c>
      <c r="S93">
        <f t="shared" si="4"/>
        <v>557.6865165165168</v>
      </c>
      <c r="T93">
        <f t="shared" si="5"/>
        <v>153</v>
      </c>
      <c r="U93">
        <f t="shared" si="6"/>
        <v>1.9139139139139139</v>
      </c>
      <c r="V93">
        <f t="shared" si="7"/>
        <v>557.6865165165168</v>
      </c>
    </row>
    <row r="94" spans="1:22" x14ac:dyDescent="0.25">
      <c r="A94">
        <v>3536</v>
      </c>
      <c r="B94" s="1">
        <v>44779</v>
      </c>
      <c r="C94" t="s">
        <v>43</v>
      </c>
      <c r="D94" t="s">
        <v>18</v>
      </c>
      <c r="E94" t="s">
        <v>19</v>
      </c>
      <c r="F94" t="s">
        <v>20</v>
      </c>
      <c r="G94" t="s">
        <v>34</v>
      </c>
      <c r="H94" t="s">
        <v>35</v>
      </c>
      <c r="I94" t="s">
        <v>55</v>
      </c>
      <c r="J94" t="s">
        <v>24</v>
      </c>
      <c r="K94" t="s">
        <v>25</v>
      </c>
      <c r="L94">
        <v>1</v>
      </c>
      <c r="M94">
        <v>2</v>
      </c>
      <c r="N94">
        <v>4</v>
      </c>
      <c r="O94">
        <v>5</v>
      </c>
      <c r="P94">
        <v>269.02999999999997</v>
      </c>
      <c r="Q94">
        <v>33</v>
      </c>
      <c r="S94">
        <f t="shared" si="4"/>
        <v>557.6865165165168</v>
      </c>
      <c r="T94">
        <f t="shared" si="5"/>
        <v>153</v>
      </c>
      <c r="U94">
        <f t="shared" si="6"/>
        <v>1.9139139139139139</v>
      </c>
      <c r="V94">
        <f t="shared" si="7"/>
        <v>557.6865165165168</v>
      </c>
    </row>
    <row r="95" spans="1:22" x14ac:dyDescent="0.25">
      <c r="A95">
        <v>3539</v>
      </c>
      <c r="B95" s="1">
        <v>43807</v>
      </c>
      <c r="C95" t="s">
        <v>40</v>
      </c>
      <c r="D95" t="s">
        <v>18</v>
      </c>
      <c r="E95" t="s">
        <v>32</v>
      </c>
      <c r="F95" t="s">
        <v>20</v>
      </c>
      <c r="G95" t="s">
        <v>34</v>
      </c>
      <c r="H95" t="s">
        <v>38</v>
      </c>
      <c r="I95" t="s">
        <v>57</v>
      </c>
      <c r="J95" t="s">
        <v>30</v>
      </c>
      <c r="K95" t="s">
        <v>25</v>
      </c>
      <c r="L95">
        <v>3</v>
      </c>
      <c r="M95">
        <v>3</v>
      </c>
      <c r="N95">
        <v>4</v>
      </c>
      <c r="O95">
        <v>4</v>
      </c>
      <c r="P95">
        <v>234.77</v>
      </c>
      <c r="Q95">
        <v>36</v>
      </c>
      <c r="S95">
        <f t="shared" si="4"/>
        <v>557.6865165165168</v>
      </c>
      <c r="T95">
        <f t="shared" si="5"/>
        <v>153</v>
      </c>
      <c r="U95">
        <f t="shared" si="6"/>
        <v>1.9139139139139139</v>
      </c>
      <c r="V95">
        <f t="shared" si="7"/>
        <v>557.6865165165168</v>
      </c>
    </row>
    <row r="96" spans="1:22" x14ac:dyDescent="0.25">
      <c r="A96">
        <v>3540</v>
      </c>
      <c r="B96" s="1">
        <v>43902</v>
      </c>
      <c r="C96" t="s">
        <v>17</v>
      </c>
      <c r="D96" t="s">
        <v>18</v>
      </c>
      <c r="E96" t="s">
        <v>32</v>
      </c>
      <c r="F96" t="s">
        <v>33</v>
      </c>
      <c r="G96" t="s">
        <v>34</v>
      </c>
      <c r="H96" t="s">
        <v>56</v>
      </c>
      <c r="I96" t="s">
        <v>57</v>
      </c>
      <c r="J96" t="s">
        <v>30</v>
      </c>
      <c r="K96" t="s">
        <v>46</v>
      </c>
      <c r="L96">
        <v>2</v>
      </c>
      <c r="M96">
        <v>2</v>
      </c>
      <c r="N96">
        <v>3</v>
      </c>
      <c r="O96">
        <v>2</v>
      </c>
      <c r="P96">
        <v>903.46</v>
      </c>
      <c r="Q96">
        <v>37</v>
      </c>
      <c r="S96">
        <f t="shared" si="4"/>
        <v>557.6865165165168</v>
      </c>
      <c r="T96">
        <f t="shared" si="5"/>
        <v>153</v>
      </c>
      <c r="U96">
        <f t="shared" si="6"/>
        <v>1.9139139139139139</v>
      </c>
      <c r="V96">
        <f t="shared" si="7"/>
        <v>557.6865165165168</v>
      </c>
    </row>
    <row r="97" spans="1:22" x14ac:dyDescent="0.25">
      <c r="A97">
        <v>3541</v>
      </c>
      <c r="B97" s="1">
        <v>43927</v>
      </c>
      <c r="C97" t="s">
        <v>52</v>
      </c>
      <c r="D97" t="s">
        <v>18</v>
      </c>
      <c r="E97" t="s">
        <v>32</v>
      </c>
      <c r="F97" t="s">
        <v>33</v>
      </c>
      <c r="G97" t="s">
        <v>34</v>
      </c>
      <c r="H97" t="s">
        <v>41</v>
      </c>
      <c r="I97" t="s">
        <v>53</v>
      </c>
      <c r="J97" t="s">
        <v>30</v>
      </c>
      <c r="K97" t="s">
        <v>46</v>
      </c>
      <c r="L97">
        <v>1</v>
      </c>
      <c r="M97">
        <v>3</v>
      </c>
      <c r="N97">
        <v>3</v>
      </c>
      <c r="O97">
        <v>4</v>
      </c>
      <c r="P97">
        <v>380.3</v>
      </c>
      <c r="Q97">
        <v>29</v>
      </c>
      <c r="S97">
        <f t="shared" si="4"/>
        <v>557.6865165165168</v>
      </c>
      <c r="T97">
        <f t="shared" si="5"/>
        <v>153</v>
      </c>
      <c r="U97">
        <f t="shared" si="6"/>
        <v>1.9139139139139139</v>
      </c>
      <c r="V97">
        <f t="shared" si="7"/>
        <v>557.6865165165168</v>
      </c>
    </row>
    <row r="98" spans="1:22" x14ac:dyDescent="0.25">
      <c r="A98">
        <v>3542</v>
      </c>
      <c r="B98" s="1">
        <v>45031</v>
      </c>
      <c r="C98" t="s">
        <v>26</v>
      </c>
      <c r="D98" t="s">
        <v>18</v>
      </c>
      <c r="E98" t="s">
        <v>19</v>
      </c>
      <c r="F98" t="s">
        <v>27</v>
      </c>
      <c r="G98" t="s">
        <v>34</v>
      </c>
      <c r="H98" t="s">
        <v>41</v>
      </c>
      <c r="I98" t="s">
        <v>53</v>
      </c>
      <c r="J98" t="s">
        <v>30</v>
      </c>
      <c r="K98" t="s">
        <v>64</v>
      </c>
      <c r="L98">
        <v>2</v>
      </c>
      <c r="M98">
        <v>3</v>
      </c>
      <c r="N98">
        <v>4</v>
      </c>
      <c r="O98">
        <v>4</v>
      </c>
      <c r="P98">
        <v>511.42</v>
      </c>
      <c r="Q98">
        <v>75</v>
      </c>
      <c r="S98">
        <f t="shared" si="4"/>
        <v>557.6865165165168</v>
      </c>
      <c r="T98">
        <f t="shared" si="5"/>
        <v>153</v>
      </c>
      <c r="U98">
        <f t="shared" si="6"/>
        <v>1.9139139139139139</v>
      </c>
      <c r="V98">
        <f t="shared" si="7"/>
        <v>557.6865165165168</v>
      </c>
    </row>
    <row r="99" spans="1:22" x14ac:dyDescent="0.25">
      <c r="A99">
        <v>3543</v>
      </c>
      <c r="B99" s="1">
        <v>44145</v>
      </c>
      <c r="C99" t="s">
        <v>54</v>
      </c>
      <c r="D99" t="s">
        <v>18</v>
      </c>
      <c r="E99" t="s">
        <v>28</v>
      </c>
      <c r="F99" t="s">
        <v>27</v>
      </c>
      <c r="G99" t="s">
        <v>34</v>
      </c>
      <c r="H99" t="s">
        <v>38</v>
      </c>
      <c r="I99" t="s">
        <v>45</v>
      </c>
      <c r="J99" t="s">
        <v>24</v>
      </c>
      <c r="K99" t="s">
        <v>25</v>
      </c>
      <c r="L99">
        <v>4</v>
      </c>
      <c r="M99">
        <v>5</v>
      </c>
      <c r="N99">
        <v>5</v>
      </c>
      <c r="O99">
        <v>4</v>
      </c>
      <c r="P99">
        <v>171.03</v>
      </c>
      <c r="Q99">
        <v>39</v>
      </c>
      <c r="S99">
        <f t="shared" si="4"/>
        <v>557.6865165165168</v>
      </c>
      <c r="T99">
        <f t="shared" si="5"/>
        <v>153</v>
      </c>
      <c r="U99">
        <f t="shared" si="6"/>
        <v>1.9139139139139139</v>
      </c>
      <c r="V99">
        <f t="shared" si="7"/>
        <v>557.6865165165168</v>
      </c>
    </row>
    <row r="100" spans="1:22" x14ac:dyDescent="0.25">
      <c r="A100">
        <v>3544</v>
      </c>
      <c r="B100" s="1">
        <v>45106</v>
      </c>
      <c r="C100" t="s">
        <v>37</v>
      </c>
      <c r="D100" t="s">
        <v>18</v>
      </c>
      <c r="E100" t="s">
        <v>19</v>
      </c>
      <c r="F100" t="s">
        <v>27</v>
      </c>
      <c r="G100" t="s">
        <v>34</v>
      </c>
      <c r="H100" t="s">
        <v>29</v>
      </c>
      <c r="I100" t="s">
        <v>45</v>
      </c>
      <c r="J100" t="s">
        <v>30</v>
      </c>
      <c r="K100" t="s">
        <v>25</v>
      </c>
      <c r="L100">
        <v>3</v>
      </c>
      <c r="M100">
        <v>5</v>
      </c>
      <c r="N100">
        <v>3</v>
      </c>
      <c r="O100">
        <v>3</v>
      </c>
      <c r="P100">
        <v>842.93</v>
      </c>
      <c r="Q100">
        <v>23</v>
      </c>
      <c r="S100">
        <f t="shared" si="4"/>
        <v>557.6865165165168</v>
      </c>
      <c r="T100">
        <f t="shared" si="5"/>
        <v>153</v>
      </c>
      <c r="U100">
        <f t="shared" si="6"/>
        <v>1.9139139139139139</v>
      </c>
      <c r="V100">
        <f t="shared" si="7"/>
        <v>557.6865165165168</v>
      </c>
    </row>
    <row r="101" spans="1:22" x14ac:dyDescent="0.25">
      <c r="A101">
        <v>3545</v>
      </c>
      <c r="B101" s="1">
        <v>44627</v>
      </c>
      <c r="C101" t="s">
        <v>26</v>
      </c>
      <c r="D101" t="s">
        <v>18</v>
      </c>
      <c r="E101" t="s">
        <v>32</v>
      </c>
      <c r="F101" t="s">
        <v>20</v>
      </c>
      <c r="G101" t="s">
        <v>61</v>
      </c>
      <c r="H101" t="s">
        <v>41</v>
      </c>
      <c r="I101" t="s">
        <v>48</v>
      </c>
      <c r="J101" t="s">
        <v>24</v>
      </c>
      <c r="K101" t="s">
        <v>25</v>
      </c>
      <c r="L101">
        <v>2</v>
      </c>
      <c r="M101">
        <v>5</v>
      </c>
      <c r="N101">
        <v>2</v>
      </c>
      <c r="O101">
        <v>5</v>
      </c>
      <c r="P101">
        <v>581.12</v>
      </c>
      <c r="Q101">
        <v>79</v>
      </c>
      <c r="S101">
        <f t="shared" si="4"/>
        <v>557.6865165165168</v>
      </c>
      <c r="T101">
        <f t="shared" si="5"/>
        <v>153</v>
      </c>
      <c r="U101">
        <f t="shared" si="6"/>
        <v>1.9139139139139139</v>
      </c>
      <c r="V101">
        <f t="shared" si="7"/>
        <v>557.6865165165168</v>
      </c>
    </row>
    <row r="102" spans="1:22" x14ac:dyDescent="0.25">
      <c r="A102">
        <v>3546</v>
      </c>
      <c r="B102" s="1">
        <v>44408</v>
      </c>
      <c r="C102" t="s">
        <v>17</v>
      </c>
      <c r="D102" t="s">
        <v>18</v>
      </c>
      <c r="E102" t="s">
        <v>32</v>
      </c>
      <c r="F102" t="s">
        <v>33</v>
      </c>
      <c r="G102" t="s">
        <v>34</v>
      </c>
      <c r="H102" t="s">
        <v>38</v>
      </c>
      <c r="I102" t="s">
        <v>36</v>
      </c>
      <c r="J102" t="s">
        <v>30</v>
      </c>
      <c r="K102" t="s">
        <v>46</v>
      </c>
      <c r="L102">
        <v>2</v>
      </c>
      <c r="M102">
        <v>5</v>
      </c>
      <c r="N102">
        <v>5</v>
      </c>
      <c r="O102">
        <v>4</v>
      </c>
      <c r="P102">
        <v>426.45</v>
      </c>
      <c r="Q102">
        <v>41</v>
      </c>
      <c r="S102">
        <f t="shared" si="4"/>
        <v>557.6865165165168</v>
      </c>
      <c r="T102">
        <f t="shared" si="5"/>
        <v>153</v>
      </c>
      <c r="U102">
        <f t="shared" si="6"/>
        <v>1.9139139139139139</v>
      </c>
      <c r="V102">
        <f t="shared" si="7"/>
        <v>557.6865165165168</v>
      </c>
    </row>
    <row r="103" spans="1:22" x14ac:dyDescent="0.25">
      <c r="A103">
        <v>3547</v>
      </c>
      <c r="B103" s="1">
        <v>44581</v>
      </c>
      <c r="C103" t="s">
        <v>40</v>
      </c>
      <c r="D103" t="s">
        <v>18</v>
      </c>
      <c r="E103" t="s">
        <v>19</v>
      </c>
      <c r="F103" t="s">
        <v>33</v>
      </c>
      <c r="G103" t="s">
        <v>34</v>
      </c>
      <c r="H103" t="s">
        <v>65</v>
      </c>
      <c r="I103" t="s">
        <v>58</v>
      </c>
      <c r="J103" t="s">
        <v>24</v>
      </c>
      <c r="K103" t="s">
        <v>64</v>
      </c>
      <c r="L103">
        <v>2</v>
      </c>
      <c r="M103">
        <v>4</v>
      </c>
      <c r="N103">
        <v>2</v>
      </c>
      <c r="O103">
        <v>4</v>
      </c>
      <c r="P103">
        <v>805.05</v>
      </c>
      <c r="Q103">
        <v>75</v>
      </c>
      <c r="S103">
        <f t="shared" si="4"/>
        <v>557.6865165165168</v>
      </c>
      <c r="T103">
        <f t="shared" si="5"/>
        <v>153</v>
      </c>
      <c r="U103">
        <f t="shared" si="6"/>
        <v>1.9139139139139139</v>
      </c>
      <c r="V103">
        <f t="shared" si="7"/>
        <v>557.6865165165168</v>
      </c>
    </row>
    <row r="104" spans="1:22" x14ac:dyDescent="0.25">
      <c r="A104">
        <v>3548</v>
      </c>
      <c r="B104" s="1">
        <v>44388</v>
      </c>
      <c r="C104" t="s">
        <v>43</v>
      </c>
      <c r="D104" t="s">
        <v>18</v>
      </c>
      <c r="E104" t="s">
        <v>28</v>
      </c>
      <c r="F104" t="s">
        <v>27</v>
      </c>
      <c r="G104" t="s">
        <v>34</v>
      </c>
      <c r="H104" t="s">
        <v>38</v>
      </c>
      <c r="I104" t="s">
        <v>58</v>
      </c>
      <c r="J104" t="s">
        <v>24</v>
      </c>
      <c r="K104" t="s">
        <v>25</v>
      </c>
      <c r="L104">
        <v>5</v>
      </c>
      <c r="M104">
        <v>5</v>
      </c>
      <c r="N104">
        <v>3</v>
      </c>
      <c r="O104">
        <v>3</v>
      </c>
      <c r="P104">
        <v>368.8</v>
      </c>
      <c r="Q104">
        <v>57</v>
      </c>
      <c r="S104">
        <f t="shared" si="4"/>
        <v>557.6865165165168</v>
      </c>
      <c r="T104">
        <f t="shared" si="5"/>
        <v>153</v>
      </c>
      <c r="U104">
        <f t="shared" si="6"/>
        <v>1.9139139139139139</v>
      </c>
      <c r="V104">
        <f t="shared" si="7"/>
        <v>557.6865165165168</v>
      </c>
    </row>
    <row r="105" spans="1:22" x14ac:dyDescent="0.25">
      <c r="A105">
        <v>3549</v>
      </c>
      <c r="B105" s="1">
        <v>43388</v>
      </c>
      <c r="C105" t="s">
        <v>37</v>
      </c>
      <c r="D105" t="s">
        <v>18</v>
      </c>
      <c r="E105" t="s">
        <v>32</v>
      </c>
      <c r="F105" t="s">
        <v>20</v>
      </c>
      <c r="G105" t="s">
        <v>34</v>
      </c>
      <c r="H105" t="s">
        <v>41</v>
      </c>
      <c r="I105" t="s">
        <v>55</v>
      </c>
      <c r="J105" t="s">
        <v>24</v>
      </c>
      <c r="K105" t="s">
        <v>25</v>
      </c>
      <c r="L105">
        <v>1</v>
      </c>
      <c r="M105">
        <v>4</v>
      </c>
      <c r="N105">
        <v>1</v>
      </c>
      <c r="O105">
        <v>5</v>
      </c>
      <c r="P105">
        <v>788.67</v>
      </c>
      <c r="Q105">
        <v>63</v>
      </c>
      <c r="S105">
        <f t="shared" si="4"/>
        <v>557.6865165165168</v>
      </c>
      <c r="T105">
        <f t="shared" si="5"/>
        <v>153</v>
      </c>
      <c r="U105">
        <f t="shared" si="6"/>
        <v>1.9139139139139139</v>
      </c>
      <c r="V105">
        <f t="shared" si="7"/>
        <v>557.6865165165168</v>
      </c>
    </row>
    <row r="106" spans="1:22" x14ac:dyDescent="0.25">
      <c r="A106">
        <v>3551</v>
      </c>
      <c r="B106" s="1">
        <v>43323</v>
      </c>
      <c r="C106" t="s">
        <v>60</v>
      </c>
      <c r="D106" t="s">
        <v>18</v>
      </c>
      <c r="E106" t="s">
        <v>28</v>
      </c>
      <c r="F106" t="s">
        <v>20</v>
      </c>
      <c r="G106" t="s">
        <v>34</v>
      </c>
      <c r="H106" t="s">
        <v>47</v>
      </c>
      <c r="I106" t="s">
        <v>51</v>
      </c>
      <c r="J106" t="s">
        <v>30</v>
      </c>
      <c r="K106" t="s">
        <v>64</v>
      </c>
      <c r="L106">
        <v>4</v>
      </c>
      <c r="M106">
        <v>4</v>
      </c>
      <c r="N106">
        <v>3</v>
      </c>
      <c r="O106">
        <v>1</v>
      </c>
      <c r="P106">
        <v>570.13</v>
      </c>
      <c r="Q106">
        <v>64</v>
      </c>
      <c r="S106">
        <f t="shared" si="4"/>
        <v>557.6865165165168</v>
      </c>
      <c r="T106">
        <f t="shared" si="5"/>
        <v>153</v>
      </c>
      <c r="U106">
        <f t="shared" si="6"/>
        <v>1.9139139139139139</v>
      </c>
      <c r="V106">
        <f t="shared" si="7"/>
        <v>557.6865165165168</v>
      </c>
    </row>
    <row r="107" spans="1:22" x14ac:dyDescent="0.25">
      <c r="A107">
        <v>3552</v>
      </c>
      <c r="B107" s="1">
        <v>43877</v>
      </c>
      <c r="C107" t="s">
        <v>31</v>
      </c>
      <c r="D107" t="s">
        <v>18</v>
      </c>
      <c r="E107" t="s">
        <v>32</v>
      </c>
      <c r="F107" t="s">
        <v>33</v>
      </c>
      <c r="G107" t="s">
        <v>34</v>
      </c>
      <c r="H107" t="s">
        <v>41</v>
      </c>
      <c r="I107" t="s">
        <v>57</v>
      </c>
      <c r="J107" t="s">
        <v>30</v>
      </c>
      <c r="K107" t="s">
        <v>64</v>
      </c>
      <c r="L107">
        <v>3</v>
      </c>
      <c r="M107">
        <v>4</v>
      </c>
      <c r="N107">
        <v>2</v>
      </c>
      <c r="O107">
        <v>4</v>
      </c>
      <c r="P107">
        <v>480.87</v>
      </c>
      <c r="Q107">
        <v>78</v>
      </c>
      <c r="S107">
        <f t="shared" si="4"/>
        <v>557.6865165165168</v>
      </c>
      <c r="T107">
        <f t="shared" si="5"/>
        <v>153</v>
      </c>
      <c r="U107">
        <f t="shared" si="6"/>
        <v>1.9139139139139139</v>
      </c>
      <c r="V107">
        <f t="shared" si="7"/>
        <v>557.6865165165168</v>
      </c>
    </row>
    <row r="108" spans="1:22" x14ac:dyDescent="0.25">
      <c r="A108">
        <v>3553</v>
      </c>
      <c r="B108" s="1">
        <v>43850</v>
      </c>
      <c r="C108" t="s">
        <v>49</v>
      </c>
      <c r="D108" t="s">
        <v>18</v>
      </c>
      <c r="E108" t="s">
        <v>19</v>
      </c>
      <c r="F108" t="s">
        <v>20</v>
      </c>
      <c r="G108" t="s">
        <v>34</v>
      </c>
      <c r="H108" t="s">
        <v>41</v>
      </c>
      <c r="I108" t="s">
        <v>57</v>
      </c>
      <c r="J108" t="s">
        <v>30</v>
      </c>
      <c r="K108" t="s">
        <v>25</v>
      </c>
      <c r="L108">
        <v>4</v>
      </c>
      <c r="M108">
        <v>2</v>
      </c>
      <c r="N108">
        <v>4</v>
      </c>
      <c r="O108">
        <v>5</v>
      </c>
      <c r="P108">
        <v>689.48</v>
      </c>
      <c r="Q108">
        <v>71</v>
      </c>
      <c r="S108">
        <f t="shared" si="4"/>
        <v>557.6865165165168</v>
      </c>
      <c r="T108">
        <f t="shared" si="5"/>
        <v>153</v>
      </c>
      <c r="U108">
        <f t="shared" si="6"/>
        <v>1.9139139139139139</v>
      </c>
      <c r="V108">
        <f t="shared" si="7"/>
        <v>557.6865165165168</v>
      </c>
    </row>
    <row r="109" spans="1:22" x14ac:dyDescent="0.25">
      <c r="A109">
        <v>3554</v>
      </c>
      <c r="B109" s="1">
        <v>43555</v>
      </c>
      <c r="C109" t="s">
        <v>54</v>
      </c>
      <c r="D109" t="s">
        <v>18</v>
      </c>
      <c r="E109" t="s">
        <v>28</v>
      </c>
      <c r="F109" t="s">
        <v>20</v>
      </c>
      <c r="G109" t="s">
        <v>34</v>
      </c>
      <c r="H109" t="s">
        <v>70</v>
      </c>
      <c r="I109" t="s">
        <v>53</v>
      </c>
      <c r="J109" t="s">
        <v>30</v>
      </c>
      <c r="K109" t="s">
        <v>25</v>
      </c>
      <c r="L109">
        <v>2</v>
      </c>
      <c r="M109">
        <v>1</v>
      </c>
      <c r="N109">
        <v>2</v>
      </c>
      <c r="O109">
        <v>4</v>
      </c>
      <c r="P109">
        <v>283.33</v>
      </c>
      <c r="Q109">
        <v>61</v>
      </c>
      <c r="S109">
        <f t="shared" si="4"/>
        <v>557.6865165165168</v>
      </c>
      <c r="T109">
        <f t="shared" si="5"/>
        <v>153</v>
      </c>
      <c r="U109">
        <f t="shared" si="6"/>
        <v>1.9139139139139139</v>
      </c>
      <c r="V109">
        <f t="shared" si="7"/>
        <v>557.6865165165168</v>
      </c>
    </row>
    <row r="110" spans="1:22" x14ac:dyDescent="0.25">
      <c r="A110">
        <v>3555</v>
      </c>
      <c r="B110" s="1">
        <v>44932</v>
      </c>
      <c r="C110" t="s">
        <v>26</v>
      </c>
      <c r="D110" t="s">
        <v>18</v>
      </c>
      <c r="E110" t="s">
        <v>32</v>
      </c>
      <c r="F110" t="s">
        <v>20</v>
      </c>
      <c r="G110" t="s">
        <v>34</v>
      </c>
      <c r="H110" t="s">
        <v>44</v>
      </c>
      <c r="I110" t="s">
        <v>53</v>
      </c>
      <c r="J110" t="s">
        <v>24</v>
      </c>
      <c r="K110" t="s">
        <v>25</v>
      </c>
      <c r="L110">
        <v>2</v>
      </c>
      <c r="M110">
        <v>5</v>
      </c>
      <c r="N110">
        <v>1</v>
      </c>
      <c r="O110">
        <v>4</v>
      </c>
      <c r="P110">
        <v>566.12</v>
      </c>
      <c r="Q110">
        <v>35</v>
      </c>
      <c r="S110">
        <f t="shared" si="4"/>
        <v>557.6865165165168</v>
      </c>
      <c r="T110">
        <f t="shared" si="5"/>
        <v>153</v>
      </c>
      <c r="U110">
        <f t="shared" si="6"/>
        <v>1.9139139139139139</v>
      </c>
      <c r="V110">
        <f t="shared" si="7"/>
        <v>557.6865165165168</v>
      </c>
    </row>
    <row r="111" spans="1:22" x14ac:dyDescent="0.25">
      <c r="A111">
        <v>3556</v>
      </c>
      <c r="B111" s="1">
        <v>43664</v>
      </c>
      <c r="C111" t="s">
        <v>17</v>
      </c>
      <c r="D111" t="s">
        <v>18</v>
      </c>
      <c r="E111" t="s">
        <v>32</v>
      </c>
      <c r="F111" t="s">
        <v>33</v>
      </c>
      <c r="G111" t="s">
        <v>34</v>
      </c>
      <c r="H111" t="s">
        <v>67</v>
      </c>
      <c r="I111" t="s">
        <v>45</v>
      </c>
      <c r="J111" t="s">
        <v>30</v>
      </c>
      <c r="K111" t="s">
        <v>46</v>
      </c>
      <c r="L111">
        <v>2</v>
      </c>
      <c r="M111">
        <v>2</v>
      </c>
      <c r="N111">
        <v>3</v>
      </c>
      <c r="O111">
        <v>1</v>
      </c>
      <c r="P111">
        <v>513.91999999999996</v>
      </c>
      <c r="Q111">
        <v>58</v>
      </c>
      <c r="S111">
        <f t="shared" si="4"/>
        <v>557.6865165165168</v>
      </c>
      <c r="T111">
        <f t="shared" si="5"/>
        <v>153</v>
      </c>
      <c r="U111">
        <f t="shared" si="6"/>
        <v>1.9139139139139139</v>
      </c>
      <c r="V111">
        <f t="shared" si="7"/>
        <v>557.6865165165168</v>
      </c>
    </row>
    <row r="112" spans="1:22" x14ac:dyDescent="0.25">
      <c r="A112">
        <v>3557</v>
      </c>
      <c r="B112" s="1">
        <v>43509</v>
      </c>
      <c r="C112" t="s">
        <v>40</v>
      </c>
      <c r="D112" t="s">
        <v>18</v>
      </c>
      <c r="E112" t="s">
        <v>28</v>
      </c>
      <c r="F112" t="s">
        <v>20</v>
      </c>
      <c r="G112" t="s">
        <v>34</v>
      </c>
      <c r="H112" t="s">
        <v>41</v>
      </c>
      <c r="I112" t="s">
        <v>23</v>
      </c>
      <c r="J112" t="s">
        <v>30</v>
      </c>
      <c r="K112" t="s">
        <v>25</v>
      </c>
      <c r="L112">
        <v>4</v>
      </c>
      <c r="M112">
        <v>5</v>
      </c>
      <c r="N112">
        <v>2</v>
      </c>
      <c r="O112">
        <v>1</v>
      </c>
      <c r="P112">
        <v>210.38</v>
      </c>
      <c r="Q112">
        <v>59</v>
      </c>
      <c r="S112">
        <f t="shared" si="4"/>
        <v>557.6865165165168</v>
      </c>
      <c r="T112">
        <f t="shared" si="5"/>
        <v>153</v>
      </c>
      <c r="U112">
        <f t="shared" si="6"/>
        <v>1.9139139139139139</v>
      </c>
      <c r="V112">
        <f t="shared" si="7"/>
        <v>557.6865165165168</v>
      </c>
    </row>
    <row r="113" spans="1:22" x14ac:dyDescent="0.25">
      <c r="A113">
        <v>3558</v>
      </c>
      <c r="B113" s="1">
        <v>43464</v>
      </c>
      <c r="C113" t="s">
        <v>54</v>
      </c>
      <c r="D113" t="s">
        <v>18</v>
      </c>
      <c r="E113" t="s">
        <v>28</v>
      </c>
      <c r="F113" t="s">
        <v>27</v>
      </c>
      <c r="G113" t="s">
        <v>21</v>
      </c>
      <c r="H113" t="s">
        <v>71</v>
      </c>
      <c r="I113" t="s">
        <v>23</v>
      </c>
      <c r="J113" t="s">
        <v>24</v>
      </c>
      <c r="K113" t="s">
        <v>25</v>
      </c>
      <c r="L113">
        <v>2</v>
      </c>
      <c r="M113">
        <v>5</v>
      </c>
      <c r="N113">
        <v>3</v>
      </c>
      <c r="O113">
        <v>1</v>
      </c>
      <c r="P113">
        <v>941.54</v>
      </c>
      <c r="Q113">
        <v>59</v>
      </c>
      <c r="S113">
        <f t="shared" si="4"/>
        <v>557.6865165165168</v>
      </c>
      <c r="T113">
        <f t="shared" si="5"/>
        <v>153</v>
      </c>
      <c r="U113">
        <f t="shared" si="6"/>
        <v>1.9139139139139139</v>
      </c>
      <c r="V113">
        <f t="shared" si="7"/>
        <v>557.6865165165168</v>
      </c>
    </row>
    <row r="114" spans="1:22" x14ac:dyDescent="0.25">
      <c r="A114">
        <v>3559</v>
      </c>
      <c r="B114" s="1">
        <v>43775</v>
      </c>
      <c r="C114" t="s">
        <v>49</v>
      </c>
      <c r="D114" t="s">
        <v>18</v>
      </c>
      <c r="E114" t="s">
        <v>28</v>
      </c>
      <c r="F114" t="s">
        <v>20</v>
      </c>
      <c r="G114" t="s">
        <v>21</v>
      </c>
      <c r="H114" t="s">
        <v>41</v>
      </c>
      <c r="I114" t="s">
        <v>23</v>
      </c>
      <c r="J114" t="s">
        <v>30</v>
      </c>
      <c r="K114" t="s">
        <v>25</v>
      </c>
      <c r="L114">
        <v>3</v>
      </c>
      <c r="M114">
        <v>2</v>
      </c>
      <c r="N114">
        <v>1</v>
      </c>
      <c r="O114">
        <v>2</v>
      </c>
      <c r="P114">
        <v>959.81</v>
      </c>
      <c r="Q114">
        <v>28</v>
      </c>
      <c r="S114">
        <f t="shared" si="4"/>
        <v>557.6865165165168</v>
      </c>
      <c r="T114">
        <f t="shared" si="5"/>
        <v>153</v>
      </c>
      <c r="U114">
        <f t="shared" si="6"/>
        <v>1.9139139139139139</v>
      </c>
      <c r="V114">
        <f t="shared" si="7"/>
        <v>557.6865165165168</v>
      </c>
    </row>
    <row r="115" spans="1:22" x14ac:dyDescent="0.25">
      <c r="A115">
        <v>3560</v>
      </c>
      <c r="B115" s="1">
        <v>44713</v>
      </c>
      <c r="C115" t="s">
        <v>54</v>
      </c>
      <c r="D115" t="s">
        <v>18</v>
      </c>
      <c r="E115" t="s">
        <v>19</v>
      </c>
      <c r="F115" t="s">
        <v>20</v>
      </c>
      <c r="G115" t="s">
        <v>21</v>
      </c>
      <c r="H115" t="s">
        <v>41</v>
      </c>
      <c r="I115" t="s">
        <v>23</v>
      </c>
      <c r="J115" t="s">
        <v>24</v>
      </c>
      <c r="K115" t="s">
        <v>46</v>
      </c>
      <c r="L115">
        <v>2</v>
      </c>
      <c r="M115">
        <v>4</v>
      </c>
      <c r="N115">
        <v>5</v>
      </c>
      <c r="O115">
        <v>1</v>
      </c>
      <c r="P115">
        <v>738.92</v>
      </c>
      <c r="Q115">
        <v>68</v>
      </c>
      <c r="S115">
        <f t="shared" si="4"/>
        <v>557.6865165165168</v>
      </c>
      <c r="T115">
        <f t="shared" si="5"/>
        <v>153</v>
      </c>
      <c r="U115">
        <f t="shared" si="6"/>
        <v>1.9139139139139139</v>
      </c>
      <c r="V115">
        <f t="shared" si="7"/>
        <v>557.6865165165168</v>
      </c>
    </row>
    <row r="116" spans="1:22" x14ac:dyDescent="0.25">
      <c r="A116">
        <v>3561</v>
      </c>
      <c r="B116" s="1">
        <v>45013</v>
      </c>
      <c r="C116" t="s">
        <v>40</v>
      </c>
      <c r="D116" t="s">
        <v>18</v>
      </c>
      <c r="E116" t="s">
        <v>28</v>
      </c>
      <c r="F116" t="s">
        <v>20</v>
      </c>
      <c r="G116" t="s">
        <v>21</v>
      </c>
      <c r="H116" t="s">
        <v>38</v>
      </c>
      <c r="I116" t="s">
        <v>23</v>
      </c>
      <c r="J116" t="s">
        <v>24</v>
      </c>
      <c r="K116" t="s">
        <v>25</v>
      </c>
      <c r="L116">
        <v>2</v>
      </c>
      <c r="M116">
        <v>1</v>
      </c>
      <c r="N116">
        <v>5</v>
      </c>
      <c r="O116">
        <v>5</v>
      </c>
      <c r="P116">
        <v>445.04</v>
      </c>
      <c r="Q116">
        <v>64</v>
      </c>
      <c r="S116">
        <f t="shared" si="4"/>
        <v>557.6865165165168</v>
      </c>
      <c r="T116">
        <f t="shared" si="5"/>
        <v>153</v>
      </c>
      <c r="U116">
        <f t="shared" si="6"/>
        <v>1.9139139139139139</v>
      </c>
      <c r="V116">
        <f t="shared" si="7"/>
        <v>557.6865165165168</v>
      </c>
    </row>
    <row r="117" spans="1:22" x14ac:dyDescent="0.25">
      <c r="A117">
        <v>3563</v>
      </c>
      <c r="B117" s="1">
        <v>43466</v>
      </c>
      <c r="C117" t="s">
        <v>43</v>
      </c>
      <c r="D117" t="s">
        <v>18</v>
      </c>
      <c r="E117" t="s">
        <v>19</v>
      </c>
      <c r="F117" t="s">
        <v>33</v>
      </c>
      <c r="G117" t="s">
        <v>21</v>
      </c>
      <c r="H117" t="s">
        <v>41</v>
      </c>
      <c r="I117" t="s">
        <v>23</v>
      </c>
      <c r="J117" t="s">
        <v>30</v>
      </c>
      <c r="K117" t="s">
        <v>72</v>
      </c>
      <c r="L117">
        <v>4</v>
      </c>
      <c r="M117">
        <v>1</v>
      </c>
      <c r="N117">
        <v>3</v>
      </c>
      <c r="O117">
        <v>4</v>
      </c>
      <c r="P117">
        <v>886.9</v>
      </c>
      <c r="Q117">
        <v>73</v>
      </c>
      <c r="S117">
        <f t="shared" si="4"/>
        <v>557.6865165165168</v>
      </c>
      <c r="T117">
        <f t="shared" si="5"/>
        <v>153</v>
      </c>
      <c r="U117">
        <f t="shared" si="6"/>
        <v>1.9139139139139139</v>
      </c>
      <c r="V117">
        <f t="shared" si="7"/>
        <v>557.6865165165168</v>
      </c>
    </row>
    <row r="118" spans="1:22" x14ac:dyDescent="0.25">
      <c r="A118">
        <v>3564</v>
      </c>
      <c r="B118" s="1">
        <v>43491</v>
      </c>
      <c r="C118" t="s">
        <v>52</v>
      </c>
      <c r="D118" t="s">
        <v>84</v>
      </c>
      <c r="E118" t="s">
        <v>32</v>
      </c>
      <c r="F118" t="s">
        <v>20</v>
      </c>
      <c r="G118" t="s">
        <v>21</v>
      </c>
      <c r="H118" t="s">
        <v>29</v>
      </c>
      <c r="I118" t="s">
        <v>23</v>
      </c>
      <c r="J118" t="s">
        <v>24</v>
      </c>
      <c r="K118" t="s">
        <v>25</v>
      </c>
      <c r="L118">
        <v>4</v>
      </c>
      <c r="M118">
        <v>4</v>
      </c>
      <c r="N118">
        <v>3</v>
      </c>
      <c r="O118">
        <v>4</v>
      </c>
      <c r="P118">
        <v>106.14</v>
      </c>
      <c r="Q118">
        <v>25</v>
      </c>
      <c r="S118">
        <f t="shared" si="4"/>
        <v>557.6865165165168</v>
      </c>
      <c r="T118">
        <f t="shared" si="5"/>
        <v>153</v>
      </c>
      <c r="U118">
        <f t="shared" si="6"/>
        <v>1.9139139139139139</v>
      </c>
      <c r="V118">
        <f t="shared" si="7"/>
        <v>557.6865165165168</v>
      </c>
    </row>
    <row r="119" spans="1:22" x14ac:dyDescent="0.25">
      <c r="A119">
        <v>3565</v>
      </c>
      <c r="B119" s="1">
        <v>44450</v>
      </c>
      <c r="C119" t="s">
        <v>43</v>
      </c>
      <c r="D119" t="s">
        <v>18</v>
      </c>
      <c r="E119" t="s">
        <v>28</v>
      </c>
      <c r="F119" t="s">
        <v>33</v>
      </c>
      <c r="G119" t="s">
        <v>21</v>
      </c>
      <c r="H119" t="s">
        <v>38</v>
      </c>
      <c r="I119" t="s">
        <v>23</v>
      </c>
      <c r="J119" t="s">
        <v>30</v>
      </c>
      <c r="K119" t="s">
        <v>25</v>
      </c>
      <c r="L119">
        <v>5</v>
      </c>
      <c r="M119">
        <v>5</v>
      </c>
      <c r="N119">
        <v>5</v>
      </c>
      <c r="O119">
        <v>4</v>
      </c>
      <c r="P119">
        <v>684.35</v>
      </c>
      <c r="Q119">
        <v>53</v>
      </c>
      <c r="S119">
        <f t="shared" si="4"/>
        <v>557.6865165165168</v>
      </c>
      <c r="T119">
        <f t="shared" si="5"/>
        <v>153</v>
      </c>
      <c r="U119">
        <f t="shared" si="6"/>
        <v>1.9139139139139139</v>
      </c>
      <c r="V119">
        <f t="shared" si="7"/>
        <v>557.6865165165168</v>
      </c>
    </row>
    <row r="120" spans="1:22" x14ac:dyDescent="0.25">
      <c r="A120">
        <v>3566</v>
      </c>
      <c r="B120" s="1">
        <v>44465</v>
      </c>
      <c r="C120" t="s">
        <v>31</v>
      </c>
      <c r="D120" t="s">
        <v>18</v>
      </c>
      <c r="E120" t="s">
        <v>28</v>
      </c>
      <c r="F120" t="s">
        <v>27</v>
      </c>
      <c r="G120" t="s">
        <v>21</v>
      </c>
      <c r="H120" t="s">
        <v>29</v>
      </c>
      <c r="I120" t="s">
        <v>23</v>
      </c>
      <c r="J120" t="s">
        <v>30</v>
      </c>
      <c r="K120" t="s">
        <v>25</v>
      </c>
      <c r="L120">
        <v>1</v>
      </c>
      <c r="M120">
        <v>2</v>
      </c>
      <c r="N120">
        <v>3</v>
      </c>
      <c r="O120">
        <v>2</v>
      </c>
      <c r="P120">
        <v>578.80999999999995</v>
      </c>
      <c r="Q120">
        <v>58</v>
      </c>
      <c r="S120">
        <f t="shared" si="4"/>
        <v>557.6865165165168</v>
      </c>
      <c r="T120">
        <f t="shared" si="5"/>
        <v>153</v>
      </c>
      <c r="U120">
        <f t="shared" si="6"/>
        <v>1.9139139139139139</v>
      </c>
      <c r="V120">
        <f t="shared" si="7"/>
        <v>557.6865165165168</v>
      </c>
    </row>
    <row r="121" spans="1:22" x14ac:dyDescent="0.25">
      <c r="A121">
        <v>3567</v>
      </c>
      <c r="B121" s="1">
        <v>44989</v>
      </c>
      <c r="C121" t="s">
        <v>26</v>
      </c>
      <c r="D121" t="s">
        <v>18</v>
      </c>
      <c r="E121" t="s">
        <v>32</v>
      </c>
      <c r="F121" t="s">
        <v>20</v>
      </c>
      <c r="G121" t="s">
        <v>21</v>
      </c>
      <c r="H121" t="s">
        <v>35</v>
      </c>
      <c r="I121" t="s">
        <v>23</v>
      </c>
      <c r="J121" t="s">
        <v>30</v>
      </c>
      <c r="K121" t="s">
        <v>25</v>
      </c>
      <c r="L121">
        <v>2</v>
      </c>
      <c r="M121">
        <v>3</v>
      </c>
      <c r="N121">
        <v>2</v>
      </c>
      <c r="O121">
        <v>5</v>
      </c>
      <c r="P121">
        <v>764.51</v>
      </c>
      <c r="Q121">
        <v>57</v>
      </c>
      <c r="S121">
        <f t="shared" si="4"/>
        <v>557.6865165165168</v>
      </c>
      <c r="T121">
        <f t="shared" si="5"/>
        <v>153</v>
      </c>
      <c r="U121">
        <f t="shared" si="6"/>
        <v>1.9139139139139139</v>
      </c>
      <c r="V121">
        <f t="shared" si="7"/>
        <v>557.6865165165168</v>
      </c>
    </row>
    <row r="122" spans="1:22" x14ac:dyDescent="0.25">
      <c r="A122">
        <v>3568</v>
      </c>
      <c r="B122" s="1">
        <v>45118</v>
      </c>
      <c r="C122" t="s">
        <v>26</v>
      </c>
      <c r="D122" t="s">
        <v>84</v>
      </c>
      <c r="E122" t="s">
        <v>32</v>
      </c>
      <c r="F122" t="s">
        <v>33</v>
      </c>
      <c r="G122" t="s">
        <v>21</v>
      </c>
      <c r="H122" t="s">
        <v>41</v>
      </c>
      <c r="I122" t="s">
        <v>23</v>
      </c>
      <c r="J122" t="s">
        <v>30</v>
      </c>
      <c r="K122" t="s">
        <v>25</v>
      </c>
      <c r="L122">
        <v>2</v>
      </c>
      <c r="M122">
        <v>4</v>
      </c>
      <c r="N122">
        <v>1</v>
      </c>
      <c r="O122">
        <v>2</v>
      </c>
      <c r="P122">
        <v>201.76</v>
      </c>
      <c r="Q122">
        <v>49</v>
      </c>
      <c r="S122">
        <f t="shared" si="4"/>
        <v>557.6865165165168</v>
      </c>
      <c r="T122">
        <f t="shared" si="5"/>
        <v>153</v>
      </c>
      <c r="U122">
        <f t="shared" si="6"/>
        <v>1.9139139139139139</v>
      </c>
      <c r="V122">
        <f t="shared" si="7"/>
        <v>557.6865165165168</v>
      </c>
    </row>
    <row r="123" spans="1:22" x14ac:dyDescent="0.25">
      <c r="A123">
        <v>3569</v>
      </c>
      <c r="B123" s="1">
        <v>43505</v>
      </c>
      <c r="C123" t="s">
        <v>54</v>
      </c>
      <c r="D123" t="s">
        <v>18</v>
      </c>
      <c r="E123" t="s">
        <v>28</v>
      </c>
      <c r="F123" t="s">
        <v>33</v>
      </c>
      <c r="G123" t="s">
        <v>21</v>
      </c>
      <c r="H123" t="s">
        <v>68</v>
      </c>
      <c r="I123" t="s">
        <v>23</v>
      </c>
      <c r="J123" t="s">
        <v>24</v>
      </c>
      <c r="K123" t="s">
        <v>25</v>
      </c>
      <c r="L123">
        <v>1</v>
      </c>
      <c r="M123">
        <v>3</v>
      </c>
      <c r="N123">
        <v>5</v>
      </c>
      <c r="O123">
        <v>4</v>
      </c>
      <c r="P123">
        <v>730.04</v>
      </c>
      <c r="Q123">
        <v>24</v>
      </c>
      <c r="S123">
        <f t="shared" si="4"/>
        <v>557.6865165165168</v>
      </c>
      <c r="T123">
        <f t="shared" si="5"/>
        <v>153</v>
      </c>
      <c r="U123">
        <f t="shared" si="6"/>
        <v>1.9139139139139139</v>
      </c>
      <c r="V123">
        <f t="shared" si="7"/>
        <v>557.6865165165168</v>
      </c>
    </row>
    <row r="124" spans="1:22" x14ac:dyDescent="0.25">
      <c r="A124">
        <v>3570</v>
      </c>
      <c r="B124" s="1">
        <v>43574</v>
      </c>
      <c r="C124" t="s">
        <v>37</v>
      </c>
      <c r="D124" t="s">
        <v>84</v>
      </c>
      <c r="E124" t="s">
        <v>32</v>
      </c>
      <c r="F124" t="s">
        <v>33</v>
      </c>
      <c r="G124" t="s">
        <v>21</v>
      </c>
      <c r="H124" t="s">
        <v>63</v>
      </c>
      <c r="I124" t="s">
        <v>23</v>
      </c>
      <c r="J124" t="s">
        <v>24</v>
      </c>
      <c r="K124" t="s">
        <v>25</v>
      </c>
      <c r="L124">
        <v>2</v>
      </c>
      <c r="M124">
        <v>5</v>
      </c>
      <c r="N124">
        <v>3</v>
      </c>
      <c r="O124">
        <v>2</v>
      </c>
      <c r="P124">
        <v>796.88</v>
      </c>
      <c r="Q124">
        <v>45</v>
      </c>
      <c r="S124">
        <f t="shared" si="4"/>
        <v>557.6865165165168</v>
      </c>
      <c r="T124">
        <f t="shared" si="5"/>
        <v>153</v>
      </c>
      <c r="U124">
        <f t="shared" si="6"/>
        <v>1.9139139139139139</v>
      </c>
      <c r="V124">
        <f t="shared" si="7"/>
        <v>557.6865165165168</v>
      </c>
    </row>
    <row r="125" spans="1:22" x14ac:dyDescent="0.25">
      <c r="A125">
        <v>3571</v>
      </c>
      <c r="B125" s="1">
        <v>44749</v>
      </c>
      <c r="C125" t="s">
        <v>49</v>
      </c>
      <c r="D125" t="s">
        <v>84</v>
      </c>
      <c r="E125" t="s">
        <v>28</v>
      </c>
      <c r="F125" t="s">
        <v>20</v>
      </c>
      <c r="G125" t="s">
        <v>21</v>
      </c>
      <c r="H125" t="s">
        <v>41</v>
      </c>
      <c r="I125" t="s">
        <v>23</v>
      </c>
      <c r="J125" t="s">
        <v>24</v>
      </c>
      <c r="K125" t="s">
        <v>25</v>
      </c>
      <c r="L125">
        <v>4</v>
      </c>
      <c r="M125">
        <v>1</v>
      </c>
      <c r="N125">
        <v>5</v>
      </c>
      <c r="O125">
        <v>3</v>
      </c>
      <c r="P125">
        <v>834.44</v>
      </c>
      <c r="Q125">
        <v>75</v>
      </c>
      <c r="S125">
        <f t="shared" si="4"/>
        <v>557.6865165165168</v>
      </c>
      <c r="T125">
        <f t="shared" si="5"/>
        <v>153</v>
      </c>
      <c r="U125">
        <f t="shared" si="6"/>
        <v>1.9139139139139139</v>
      </c>
      <c r="V125">
        <f t="shared" si="7"/>
        <v>557.6865165165168</v>
      </c>
    </row>
    <row r="126" spans="1:22" x14ac:dyDescent="0.25">
      <c r="A126">
        <v>3572</v>
      </c>
      <c r="B126" s="1">
        <v>43536</v>
      </c>
      <c r="C126" t="s">
        <v>43</v>
      </c>
      <c r="D126" t="s">
        <v>18</v>
      </c>
      <c r="E126" t="s">
        <v>19</v>
      </c>
      <c r="F126" t="s">
        <v>27</v>
      </c>
      <c r="G126" t="s">
        <v>21</v>
      </c>
      <c r="H126" t="s">
        <v>63</v>
      </c>
      <c r="I126" t="s">
        <v>23</v>
      </c>
      <c r="J126" t="s">
        <v>30</v>
      </c>
      <c r="K126" t="s">
        <v>25</v>
      </c>
      <c r="L126">
        <v>5</v>
      </c>
      <c r="M126">
        <v>5</v>
      </c>
      <c r="N126">
        <v>5</v>
      </c>
      <c r="O126">
        <v>5</v>
      </c>
      <c r="P126">
        <v>569.16999999999996</v>
      </c>
      <c r="Q126">
        <v>25</v>
      </c>
      <c r="S126">
        <f t="shared" si="4"/>
        <v>557.6865165165168</v>
      </c>
      <c r="T126">
        <f t="shared" si="5"/>
        <v>153</v>
      </c>
      <c r="U126">
        <f t="shared" si="6"/>
        <v>1.9139139139139139</v>
      </c>
      <c r="V126">
        <f t="shared" si="7"/>
        <v>557.6865165165168</v>
      </c>
    </row>
    <row r="127" spans="1:22" x14ac:dyDescent="0.25">
      <c r="A127">
        <v>3573</v>
      </c>
      <c r="B127" s="1">
        <v>43899</v>
      </c>
      <c r="C127" t="s">
        <v>49</v>
      </c>
      <c r="D127" t="s">
        <v>18</v>
      </c>
      <c r="E127" t="s">
        <v>19</v>
      </c>
      <c r="F127" t="s">
        <v>33</v>
      </c>
      <c r="G127" t="s">
        <v>21</v>
      </c>
      <c r="H127" t="s">
        <v>41</v>
      </c>
      <c r="I127" t="s">
        <v>23</v>
      </c>
      <c r="J127" t="s">
        <v>24</v>
      </c>
      <c r="K127" t="s">
        <v>46</v>
      </c>
      <c r="L127">
        <v>4</v>
      </c>
      <c r="M127">
        <v>1</v>
      </c>
      <c r="N127">
        <v>1</v>
      </c>
      <c r="O127">
        <v>4</v>
      </c>
      <c r="P127">
        <v>386.07</v>
      </c>
      <c r="Q127">
        <v>37</v>
      </c>
      <c r="S127">
        <f t="shared" si="4"/>
        <v>557.6865165165168</v>
      </c>
      <c r="T127">
        <f t="shared" si="5"/>
        <v>153</v>
      </c>
      <c r="U127">
        <f t="shared" si="6"/>
        <v>1.9139139139139139</v>
      </c>
      <c r="V127">
        <f t="shared" si="7"/>
        <v>557.6865165165168</v>
      </c>
    </row>
    <row r="128" spans="1:22" x14ac:dyDescent="0.25">
      <c r="A128">
        <v>3575</v>
      </c>
      <c r="B128" s="1">
        <v>44314</v>
      </c>
      <c r="C128" t="s">
        <v>54</v>
      </c>
      <c r="D128" t="s">
        <v>84</v>
      </c>
      <c r="E128" t="s">
        <v>28</v>
      </c>
      <c r="F128" t="s">
        <v>27</v>
      </c>
      <c r="G128" t="s">
        <v>21</v>
      </c>
      <c r="H128" t="s">
        <v>41</v>
      </c>
      <c r="I128" t="s">
        <v>23</v>
      </c>
      <c r="J128" t="s">
        <v>30</v>
      </c>
      <c r="K128" t="s">
        <v>46</v>
      </c>
      <c r="L128">
        <v>5</v>
      </c>
      <c r="M128">
        <v>1</v>
      </c>
      <c r="N128">
        <v>5</v>
      </c>
      <c r="O128">
        <v>3</v>
      </c>
      <c r="P128">
        <v>583.21</v>
      </c>
      <c r="Q128">
        <v>34</v>
      </c>
      <c r="S128">
        <f t="shared" si="4"/>
        <v>557.6865165165168</v>
      </c>
      <c r="T128">
        <f t="shared" si="5"/>
        <v>153</v>
      </c>
      <c r="U128">
        <f t="shared" si="6"/>
        <v>1.9139139139139139</v>
      </c>
      <c r="V128">
        <f t="shared" si="7"/>
        <v>557.6865165165168</v>
      </c>
    </row>
    <row r="129" spans="1:22" x14ac:dyDescent="0.25">
      <c r="A129">
        <v>3576</v>
      </c>
      <c r="B129" s="1">
        <v>44398</v>
      </c>
      <c r="C129" t="s">
        <v>31</v>
      </c>
      <c r="D129" t="s">
        <v>18</v>
      </c>
      <c r="E129" t="s">
        <v>32</v>
      </c>
      <c r="F129" t="s">
        <v>33</v>
      </c>
      <c r="G129" t="s">
        <v>21</v>
      </c>
      <c r="H129" t="s">
        <v>47</v>
      </c>
      <c r="I129" t="s">
        <v>23</v>
      </c>
      <c r="J129" t="s">
        <v>24</v>
      </c>
      <c r="K129" t="s">
        <v>46</v>
      </c>
      <c r="L129">
        <v>2</v>
      </c>
      <c r="M129">
        <v>3</v>
      </c>
      <c r="N129">
        <v>3</v>
      </c>
      <c r="O129">
        <v>5</v>
      </c>
      <c r="P129">
        <v>398.65</v>
      </c>
      <c r="Q129">
        <v>29</v>
      </c>
      <c r="S129">
        <f t="shared" si="4"/>
        <v>557.6865165165168</v>
      </c>
      <c r="T129">
        <f t="shared" si="5"/>
        <v>153</v>
      </c>
      <c r="U129">
        <f t="shared" si="6"/>
        <v>1.9139139139139139</v>
      </c>
      <c r="V129">
        <f t="shared" si="7"/>
        <v>557.6865165165168</v>
      </c>
    </row>
    <row r="130" spans="1:22" x14ac:dyDescent="0.25">
      <c r="A130">
        <v>3577</v>
      </c>
      <c r="B130" s="1">
        <v>43723</v>
      </c>
      <c r="C130" t="s">
        <v>40</v>
      </c>
      <c r="D130" t="s">
        <v>18</v>
      </c>
      <c r="E130" t="s">
        <v>28</v>
      </c>
      <c r="F130" t="s">
        <v>20</v>
      </c>
      <c r="G130" t="s">
        <v>21</v>
      </c>
      <c r="H130" t="s">
        <v>41</v>
      </c>
      <c r="I130" t="s">
        <v>23</v>
      </c>
      <c r="J130" t="s">
        <v>30</v>
      </c>
      <c r="K130" t="s">
        <v>25</v>
      </c>
      <c r="L130">
        <v>5</v>
      </c>
      <c r="M130">
        <v>4</v>
      </c>
      <c r="N130">
        <v>5</v>
      </c>
      <c r="O130">
        <v>5</v>
      </c>
      <c r="P130">
        <v>931.46</v>
      </c>
      <c r="Q130">
        <v>62</v>
      </c>
      <c r="S130">
        <f t="shared" ref="S130:S193" si="8">AVERAGE(P:P)-1</f>
        <v>557.6865165165168</v>
      </c>
      <c r="T130">
        <f t="shared" ref="T130:T193" si="9">COUNTIF(D:D,"Inactive")</f>
        <v>153</v>
      </c>
      <c r="U130">
        <f t="shared" ref="U130:U193" si="10">AVERAGE(L:L)-1</f>
        <v>1.9139139139139139</v>
      </c>
      <c r="V130">
        <f t="shared" ref="V130:V193" si="11">AVERAGE(P:P)-1</f>
        <v>557.6865165165168</v>
      </c>
    </row>
    <row r="131" spans="1:22" x14ac:dyDescent="0.25">
      <c r="A131">
        <v>3578</v>
      </c>
      <c r="B131" s="1">
        <v>43589</v>
      </c>
      <c r="C131" t="s">
        <v>43</v>
      </c>
      <c r="D131" t="s">
        <v>18</v>
      </c>
      <c r="E131" t="s">
        <v>32</v>
      </c>
      <c r="F131" t="s">
        <v>27</v>
      </c>
      <c r="G131" t="s">
        <v>21</v>
      </c>
      <c r="H131" t="s">
        <v>41</v>
      </c>
      <c r="I131" t="s">
        <v>23</v>
      </c>
      <c r="J131" t="s">
        <v>30</v>
      </c>
      <c r="K131" t="s">
        <v>46</v>
      </c>
      <c r="L131">
        <v>1</v>
      </c>
      <c r="M131">
        <v>4</v>
      </c>
      <c r="N131">
        <v>2</v>
      </c>
      <c r="O131">
        <v>5</v>
      </c>
      <c r="P131">
        <v>115.06</v>
      </c>
      <c r="Q131">
        <v>62</v>
      </c>
      <c r="S131">
        <f t="shared" si="8"/>
        <v>557.6865165165168</v>
      </c>
      <c r="T131">
        <f t="shared" si="9"/>
        <v>153</v>
      </c>
      <c r="U131">
        <f t="shared" si="10"/>
        <v>1.9139139139139139</v>
      </c>
      <c r="V131">
        <f t="shared" si="11"/>
        <v>557.6865165165168</v>
      </c>
    </row>
    <row r="132" spans="1:22" x14ac:dyDescent="0.25">
      <c r="A132">
        <v>3579</v>
      </c>
      <c r="B132" s="1">
        <v>44336</v>
      </c>
      <c r="C132" t="s">
        <v>40</v>
      </c>
      <c r="D132" t="s">
        <v>18</v>
      </c>
      <c r="E132" t="s">
        <v>32</v>
      </c>
      <c r="F132" t="s">
        <v>20</v>
      </c>
      <c r="G132" t="s">
        <v>21</v>
      </c>
      <c r="H132" t="s">
        <v>41</v>
      </c>
      <c r="I132" t="s">
        <v>23</v>
      </c>
      <c r="J132" t="s">
        <v>24</v>
      </c>
      <c r="K132" t="s">
        <v>64</v>
      </c>
      <c r="L132">
        <v>5</v>
      </c>
      <c r="M132">
        <v>3</v>
      </c>
      <c r="N132">
        <v>3</v>
      </c>
      <c r="O132">
        <v>2</v>
      </c>
      <c r="P132">
        <v>199.82</v>
      </c>
      <c r="Q132">
        <v>75</v>
      </c>
      <c r="S132">
        <f t="shared" si="8"/>
        <v>557.6865165165168</v>
      </c>
      <c r="T132">
        <f t="shared" si="9"/>
        <v>153</v>
      </c>
      <c r="U132">
        <f t="shared" si="10"/>
        <v>1.9139139139139139</v>
      </c>
      <c r="V132">
        <f t="shared" si="11"/>
        <v>557.6865165165168</v>
      </c>
    </row>
    <row r="133" spans="1:22" x14ac:dyDescent="0.25">
      <c r="A133">
        <v>3580</v>
      </c>
      <c r="B133" s="1">
        <v>43815</v>
      </c>
      <c r="C133" t="s">
        <v>60</v>
      </c>
      <c r="D133" t="s">
        <v>18</v>
      </c>
      <c r="E133" t="s">
        <v>32</v>
      </c>
      <c r="F133" t="s">
        <v>20</v>
      </c>
      <c r="G133" t="s">
        <v>21</v>
      </c>
      <c r="H133" t="s">
        <v>41</v>
      </c>
      <c r="I133" t="s">
        <v>23</v>
      </c>
      <c r="J133" t="s">
        <v>30</v>
      </c>
      <c r="K133" t="s">
        <v>25</v>
      </c>
      <c r="L133">
        <v>2</v>
      </c>
      <c r="M133">
        <v>4</v>
      </c>
      <c r="N133">
        <v>3</v>
      </c>
      <c r="O133">
        <v>5</v>
      </c>
      <c r="P133">
        <v>940.2</v>
      </c>
      <c r="Q133">
        <v>77</v>
      </c>
      <c r="S133">
        <f t="shared" si="8"/>
        <v>557.6865165165168</v>
      </c>
      <c r="T133">
        <f t="shared" si="9"/>
        <v>153</v>
      </c>
      <c r="U133">
        <f t="shared" si="10"/>
        <v>1.9139139139139139</v>
      </c>
      <c r="V133">
        <f t="shared" si="11"/>
        <v>557.6865165165168</v>
      </c>
    </row>
    <row r="134" spans="1:22" x14ac:dyDescent="0.25">
      <c r="A134">
        <v>3581</v>
      </c>
      <c r="B134" s="1">
        <v>44155</v>
      </c>
      <c r="C134" t="s">
        <v>52</v>
      </c>
      <c r="D134" t="s">
        <v>18</v>
      </c>
      <c r="E134" t="s">
        <v>32</v>
      </c>
      <c r="F134" t="s">
        <v>27</v>
      </c>
      <c r="G134" t="s">
        <v>21</v>
      </c>
      <c r="H134" t="s">
        <v>67</v>
      </c>
      <c r="I134" t="s">
        <v>23</v>
      </c>
      <c r="J134" t="s">
        <v>30</v>
      </c>
      <c r="K134" t="s">
        <v>25</v>
      </c>
      <c r="L134">
        <v>3</v>
      </c>
      <c r="M134">
        <v>4</v>
      </c>
      <c r="N134">
        <v>4</v>
      </c>
      <c r="O134">
        <v>1</v>
      </c>
      <c r="P134">
        <v>122.07</v>
      </c>
      <c r="Q134">
        <v>77</v>
      </c>
      <c r="S134">
        <f t="shared" si="8"/>
        <v>557.6865165165168</v>
      </c>
      <c r="T134">
        <f t="shared" si="9"/>
        <v>153</v>
      </c>
      <c r="U134">
        <f t="shared" si="10"/>
        <v>1.9139139139139139</v>
      </c>
      <c r="V134">
        <f t="shared" si="11"/>
        <v>557.6865165165168</v>
      </c>
    </row>
    <row r="135" spans="1:22" x14ac:dyDescent="0.25">
      <c r="A135">
        <v>3582</v>
      </c>
      <c r="B135" s="1">
        <v>44062</v>
      </c>
      <c r="C135" t="s">
        <v>37</v>
      </c>
      <c r="D135" t="s">
        <v>18</v>
      </c>
      <c r="E135" t="s">
        <v>28</v>
      </c>
      <c r="F135" t="s">
        <v>33</v>
      </c>
      <c r="G135" t="s">
        <v>21</v>
      </c>
      <c r="H135" t="s">
        <v>71</v>
      </c>
      <c r="I135" t="s">
        <v>23</v>
      </c>
      <c r="J135" t="s">
        <v>30</v>
      </c>
      <c r="K135" t="s">
        <v>25</v>
      </c>
      <c r="L135">
        <v>2</v>
      </c>
      <c r="M135">
        <v>2</v>
      </c>
      <c r="N135">
        <v>5</v>
      </c>
      <c r="O135">
        <v>4</v>
      </c>
      <c r="P135">
        <v>875.02</v>
      </c>
      <c r="Q135">
        <v>52</v>
      </c>
      <c r="S135">
        <f t="shared" si="8"/>
        <v>557.6865165165168</v>
      </c>
      <c r="T135">
        <f t="shared" si="9"/>
        <v>153</v>
      </c>
      <c r="U135">
        <f t="shared" si="10"/>
        <v>1.9139139139139139</v>
      </c>
      <c r="V135">
        <f t="shared" si="11"/>
        <v>557.6865165165168</v>
      </c>
    </row>
    <row r="136" spans="1:22" x14ac:dyDescent="0.25">
      <c r="A136">
        <v>3583</v>
      </c>
      <c r="B136" s="1">
        <v>44314</v>
      </c>
      <c r="C136" t="s">
        <v>43</v>
      </c>
      <c r="D136" t="s">
        <v>18</v>
      </c>
      <c r="E136" t="s">
        <v>32</v>
      </c>
      <c r="F136" t="s">
        <v>20</v>
      </c>
      <c r="G136" t="s">
        <v>21</v>
      </c>
      <c r="H136" t="s">
        <v>41</v>
      </c>
      <c r="I136" t="s">
        <v>23</v>
      </c>
      <c r="J136" t="s">
        <v>24</v>
      </c>
      <c r="K136" t="s">
        <v>64</v>
      </c>
      <c r="L136">
        <v>4</v>
      </c>
      <c r="M136">
        <v>1</v>
      </c>
      <c r="N136">
        <v>4</v>
      </c>
      <c r="O136">
        <v>4</v>
      </c>
      <c r="P136">
        <v>116.4</v>
      </c>
      <c r="Q136">
        <v>63</v>
      </c>
      <c r="S136">
        <f t="shared" si="8"/>
        <v>557.6865165165168</v>
      </c>
      <c r="T136">
        <f t="shared" si="9"/>
        <v>153</v>
      </c>
      <c r="U136">
        <f t="shared" si="10"/>
        <v>1.9139139139139139</v>
      </c>
      <c r="V136">
        <f t="shared" si="11"/>
        <v>557.6865165165168</v>
      </c>
    </row>
    <row r="137" spans="1:22" x14ac:dyDescent="0.25">
      <c r="A137">
        <v>3584</v>
      </c>
      <c r="B137" s="1">
        <v>44057</v>
      </c>
      <c r="C137" t="s">
        <v>40</v>
      </c>
      <c r="D137" t="s">
        <v>18</v>
      </c>
      <c r="E137" t="s">
        <v>19</v>
      </c>
      <c r="F137" t="s">
        <v>20</v>
      </c>
      <c r="G137" t="s">
        <v>21</v>
      </c>
      <c r="H137" t="s">
        <v>41</v>
      </c>
      <c r="I137" t="s">
        <v>23</v>
      </c>
      <c r="J137" t="s">
        <v>24</v>
      </c>
      <c r="K137" t="s">
        <v>25</v>
      </c>
      <c r="L137">
        <v>2</v>
      </c>
      <c r="M137">
        <v>2</v>
      </c>
      <c r="N137">
        <v>5</v>
      </c>
      <c r="O137">
        <v>5</v>
      </c>
      <c r="P137">
        <v>341.78</v>
      </c>
      <c r="Q137">
        <v>33</v>
      </c>
      <c r="S137">
        <f t="shared" si="8"/>
        <v>557.6865165165168</v>
      </c>
      <c r="T137">
        <f t="shared" si="9"/>
        <v>153</v>
      </c>
      <c r="U137">
        <f t="shared" si="10"/>
        <v>1.9139139139139139</v>
      </c>
      <c r="V137">
        <f t="shared" si="11"/>
        <v>557.6865165165168</v>
      </c>
    </row>
    <row r="138" spans="1:22" x14ac:dyDescent="0.25">
      <c r="A138">
        <v>3585</v>
      </c>
      <c r="B138" s="1">
        <v>44552</v>
      </c>
      <c r="C138" t="s">
        <v>17</v>
      </c>
      <c r="D138" t="s">
        <v>18</v>
      </c>
      <c r="E138" t="s">
        <v>32</v>
      </c>
      <c r="F138" t="s">
        <v>27</v>
      </c>
      <c r="G138" t="s">
        <v>21</v>
      </c>
      <c r="H138" t="s">
        <v>71</v>
      </c>
      <c r="I138" t="s">
        <v>23</v>
      </c>
      <c r="J138" t="s">
        <v>24</v>
      </c>
      <c r="K138" t="s">
        <v>25</v>
      </c>
      <c r="L138">
        <v>1</v>
      </c>
      <c r="M138">
        <v>2</v>
      </c>
      <c r="N138">
        <v>3</v>
      </c>
      <c r="O138">
        <v>4</v>
      </c>
      <c r="P138">
        <v>107.48</v>
      </c>
      <c r="Q138">
        <v>29</v>
      </c>
      <c r="S138">
        <f t="shared" si="8"/>
        <v>557.6865165165168</v>
      </c>
      <c r="T138">
        <f t="shared" si="9"/>
        <v>153</v>
      </c>
      <c r="U138">
        <f t="shared" si="10"/>
        <v>1.9139139139139139</v>
      </c>
      <c r="V138">
        <f t="shared" si="11"/>
        <v>557.6865165165168</v>
      </c>
    </row>
    <row r="139" spans="1:22" x14ac:dyDescent="0.25">
      <c r="A139">
        <v>3586</v>
      </c>
      <c r="B139" s="1">
        <v>43497</v>
      </c>
      <c r="C139" t="s">
        <v>26</v>
      </c>
      <c r="D139" t="s">
        <v>18</v>
      </c>
      <c r="E139" t="s">
        <v>28</v>
      </c>
      <c r="F139" t="s">
        <v>33</v>
      </c>
      <c r="G139" t="s">
        <v>21</v>
      </c>
      <c r="H139" t="s">
        <v>70</v>
      </c>
      <c r="I139" t="s">
        <v>23</v>
      </c>
      <c r="J139" t="s">
        <v>24</v>
      </c>
      <c r="K139" t="s">
        <v>25</v>
      </c>
      <c r="L139">
        <v>4</v>
      </c>
      <c r="M139">
        <v>2</v>
      </c>
      <c r="N139">
        <v>4</v>
      </c>
      <c r="O139">
        <v>1</v>
      </c>
      <c r="P139">
        <v>502.7</v>
      </c>
      <c r="Q139">
        <v>19</v>
      </c>
      <c r="S139">
        <f t="shared" si="8"/>
        <v>557.6865165165168</v>
      </c>
      <c r="T139">
        <f t="shared" si="9"/>
        <v>153</v>
      </c>
      <c r="U139">
        <f t="shared" si="10"/>
        <v>1.9139139139139139</v>
      </c>
      <c r="V139">
        <f t="shared" si="11"/>
        <v>557.6865165165168</v>
      </c>
    </row>
    <row r="140" spans="1:22" x14ac:dyDescent="0.25">
      <c r="A140">
        <v>3587</v>
      </c>
      <c r="B140" s="1">
        <v>44326</v>
      </c>
      <c r="C140" t="s">
        <v>54</v>
      </c>
      <c r="D140" t="s">
        <v>18</v>
      </c>
      <c r="E140" t="s">
        <v>32</v>
      </c>
      <c r="F140" t="s">
        <v>33</v>
      </c>
      <c r="G140" t="s">
        <v>21</v>
      </c>
      <c r="H140" t="s">
        <v>44</v>
      </c>
      <c r="I140" t="s">
        <v>23</v>
      </c>
      <c r="J140" t="s">
        <v>30</v>
      </c>
      <c r="K140" t="s">
        <v>25</v>
      </c>
      <c r="L140">
        <v>1</v>
      </c>
      <c r="M140">
        <v>2</v>
      </c>
      <c r="N140">
        <v>2</v>
      </c>
      <c r="O140">
        <v>5</v>
      </c>
      <c r="P140">
        <v>570.04</v>
      </c>
      <c r="Q140">
        <v>44</v>
      </c>
      <c r="S140">
        <f t="shared" si="8"/>
        <v>557.6865165165168</v>
      </c>
      <c r="T140">
        <f t="shared" si="9"/>
        <v>153</v>
      </c>
      <c r="U140">
        <f t="shared" si="10"/>
        <v>1.9139139139139139</v>
      </c>
      <c r="V140">
        <f t="shared" si="11"/>
        <v>557.6865165165168</v>
      </c>
    </row>
    <row r="141" spans="1:22" x14ac:dyDescent="0.25">
      <c r="A141">
        <v>3588</v>
      </c>
      <c r="B141" s="1">
        <v>43641</v>
      </c>
      <c r="C141" t="s">
        <v>49</v>
      </c>
      <c r="D141" t="s">
        <v>18</v>
      </c>
      <c r="E141" t="s">
        <v>32</v>
      </c>
      <c r="F141" t="s">
        <v>20</v>
      </c>
      <c r="G141" t="s">
        <v>21</v>
      </c>
      <c r="H141" t="s">
        <v>66</v>
      </c>
      <c r="I141" t="s">
        <v>23</v>
      </c>
      <c r="J141" t="s">
        <v>30</v>
      </c>
      <c r="K141" t="s">
        <v>25</v>
      </c>
      <c r="L141">
        <v>4</v>
      </c>
      <c r="M141">
        <v>2</v>
      </c>
      <c r="N141">
        <v>1</v>
      </c>
      <c r="O141">
        <v>1</v>
      </c>
      <c r="P141">
        <v>538.83000000000004</v>
      </c>
      <c r="Q141">
        <v>47</v>
      </c>
      <c r="S141">
        <f t="shared" si="8"/>
        <v>557.6865165165168</v>
      </c>
      <c r="T141">
        <f t="shared" si="9"/>
        <v>153</v>
      </c>
      <c r="U141">
        <f t="shared" si="10"/>
        <v>1.9139139139139139</v>
      </c>
      <c r="V141">
        <f t="shared" si="11"/>
        <v>557.6865165165168</v>
      </c>
    </row>
    <row r="142" spans="1:22" x14ac:dyDescent="0.25">
      <c r="A142">
        <v>3589</v>
      </c>
      <c r="B142" s="1">
        <v>43580</v>
      </c>
      <c r="C142" t="s">
        <v>31</v>
      </c>
      <c r="D142" t="s">
        <v>18</v>
      </c>
      <c r="E142" t="s">
        <v>19</v>
      </c>
      <c r="F142" t="s">
        <v>33</v>
      </c>
      <c r="G142" t="s">
        <v>21</v>
      </c>
      <c r="H142" t="s">
        <v>41</v>
      </c>
      <c r="I142" t="s">
        <v>23</v>
      </c>
      <c r="J142" t="s">
        <v>30</v>
      </c>
      <c r="K142" t="s">
        <v>25</v>
      </c>
      <c r="L142">
        <v>2</v>
      </c>
      <c r="M142">
        <v>3</v>
      </c>
      <c r="N142">
        <v>2</v>
      </c>
      <c r="O142">
        <v>4</v>
      </c>
      <c r="P142">
        <v>881.8</v>
      </c>
      <c r="Q142">
        <v>68</v>
      </c>
      <c r="S142">
        <f t="shared" si="8"/>
        <v>557.6865165165168</v>
      </c>
      <c r="T142">
        <f t="shared" si="9"/>
        <v>153</v>
      </c>
      <c r="U142">
        <f t="shared" si="10"/>
        <v>1.9139139139139139</v>
      </c>
      <c r="V142">
        <f t="shared" si="11"/>
        <v>557.6865165165168</v>
      </c>
    </row>
    <row r="143" spans="1:22" x14ac:dyDescent="0.25">
      <c r="A143">
        <v>3593</v>
      </c>
      <c r="B143" s="1">
        <v>43981</v>
      </c>
      <c r="C143" t="s">
        <v>43</v>
      </c>
      <c r="D143" t="s">
        <v>18</v>
      </c>
      <c r="E143" t="s">
        <v>19</v>
      </c>
      <c r="F143" t="s">
        <v>27</v>
      </c>
      <c r="G143" t="s">
        <v>21</v>
      </c>
      <c r="H143" t="s">
        <v>38</v>
      </c>
      <c r="I143" t="s">
        <v>23</v>
      </c>
      <c r="J143" t="s">
        <v>30</v>
      </c>
      <c r="K143" t="s">
        <v>25</v>
      </c>
      <c r="L143">
        <v>4</v>
      </c>
      <c r="M143">
        <v>4</v>
      </c>
      <c r="N143">
        <v>3</v>
      </c>
      <c r="O143">
        <v>3</v>
      </c>
      <c r="P143">
        <v>258.07</v>
      </c>
      <c r="Q143">
        <v>71</v>
      </c>
      <c r="S143">
        <f t="shared" si="8"/>
        <v>557.6865165165168</v>
      </c>
      <c r="T143">
        <f t="shared" si="9"/>
        <v>153</v>
      </c>
      <c r="U143">
        <f t="shared" si="10"/>
        <v>1.9139139139139139</v>
      </c>
      <c r="V143">
        <f t="shared" si="11"/>
        <v>557.6865165165168</v>
      </c>
    </row>
    <row r="144" spans="1:22" x14ac:dyDescent="0.25">
      <c r="A144">
        <v>3594</v>
      </c>
      <c r="B144" s="1">
        <v>43445</v>
      </c>
      <c r="C144" t="s">
        <v>60</v>
      </c>
      <c r="D144" t="s">
        <v>18</v>
      </c>
      <c r="E144" t="s">
        <v>28</v>
      </c>
      <c r="F144" t="s">
        <v>33</v>
      </c>
      <c r="G144" t="s">
        <v>21</v>
      </c>
      <c r="H144" t="s">
        <v>41</v>
      </c>
      <c r="I144" t="s">
        <v>23</v>
      </c>
      <c r="J144" t="s">
        <v>30</v>
      </c>
      <c r="K144" t="s">
        <v>64</v>
      </c>
      <c r="L144">
        <v>1</v>
      </c>
      <c r="M144">
        <v>5</v>
      </c>
      <c r="N144">
        <v>1</v>
      </c>
      <c r="O144">
        <v>5</v>
      </c>
      <c r="P144">
        <v>472.64</v>
      </c>
      <c r="Q144">
        <v>50</v>
      </c>
      <c r="S144">
        <f t="shared" si="8"/>
        <v>557.6865165165168</v>
      </c>
      <c r="T144">
        <f t="shared" si="9"/>
        <v>153</v>
      </c>
      <c r="U144">
        <f t="shared" si="10"/>
        <v>1.9139139139139139</v>
      </c>
      <c r="V144">
        <f t="shared" si="11"/>
        <v>557.6865165165168</v>
      </c>
    </row>
    <row r="145" spans="1:22" x14ac:dyDescent="0.25">
      <c r="A145">
        <v>3595</v>
      </c>
      <c r="B145" s="1">
        <v>44096</v>
      </c>
      <c r="C145" t="s">
        <v>43</v>
      </c>
      <c r="D145" t="s">
        <v>18</v>
      </c>
      <c r="E145" t="s">
        <v>19</v>
      </c>
      <c r="F145" t="s">
        <v>27</v>
      </c>
      <c r="G145" t="s">
        <v>21</v>
      </c>
      <c r="H145" t="s">
        <v>47</v>
      </c>
      <c r="I145" t="s">
        <v>23</v>
      </c>
      <c r="J145" t="s">
        <v>30</v>
      </c>
      <c r="K145" t="s">
        <v>25</v>
      </c>
      <c r="L145">
        <v>2</v>
      </c>
      <c r="M145">
        <v>3</v>
      </c>
      <c r="N145">
        <v>1</v>
      </c>
      <c r="O145">
        <v>2</v>
      </c>
      <c r="P145">
        <v>252.88</v>
      </c>
      <c r="Q145">
        <v>68</v>
      </c>
      <c r="S145">
        <f t="shared" si="8"/>
        <v>557.6865165165168</v>
      </c>
      <c r="T145">
        <f t="shared" si="9"/>
        <v>153</v>
      </c>
      <c r="U145">
        <f t="shared" si="10"/>
        <v>1.9139139139139139</v>
      </c>
      <c r="V145">
        <f t="shared" si="11"/>
        <v>557.6865165165168</v>
      </c>
    </row>
    <row r="146" spans="1:22" x14ac:dyDescent="0.25">
      <c r="A146">
        <v>3596</v>
      </c>
      <c r="B146" s="1">
        <v>43674</v>
      </c>
      <c r="C146" t="s">
        <v>49</v>
      </c>
      <c r="D146" t="s">
        <v>18</v>
      </c>
      <c r="E146" t="s">
        <v>28</v>
      </c>
      <c r="F146" t="s">
        <v>20</v>
      </c>
      <c r="G146" t="s">
        <v>21</v>
      </c>
      <c r="H146" t="s">
        <v>56</v>
      </c>
      <c r="I146" t="s">
        <v>23</v>
      </c>
      <c r="J146" t="s">
        <v>30</v>
      </c>
      <c r="K146" t="s">
        <v>64</v>
      </c>
      <c r="L146">
        <v>4</v>
      </c>
      <c r="M146">
        <v>3</v>
      </c>
      <c r="N146">
        <v>4</v>
      </c>
      <c r="O146">
        <v>2</v>
      </c>
      <c r="P146">
        <v>289.68</v>
      </c>
      <c r="Q146">
        <v>37</v>
      </c>
      <c r="S146">
        <f t="shared" si="8"/>
        <v>557.6865165165168</v>
      </c>
      <c r="T146">
        <f t="shared" si="9"/>
        <v>153</v>
      </c>
      <c r="U146">
        <f t="shared" si="10"/>
        <v>1.9139139139139139</v>
      </c>
      <c r="V146">
        <f t="shared" si="11"/>
        <v>557.6865165165168</v>
      </c>
    </row>
    <row r="147" spans="1:22" x14ac:dyDescent="0.25">
      <c r="A147">
        <v>3598</v>
      </c>
      <c r="B147" s="1">
        <v>43371</v>
      </c>
      <c r="C147" t="s">
        <v>52</v>
      </c>
      <c r="D147" t="s">
        <v>84</v>
      </c>
      <c r="E147" t="s">
        <v>28</v>
      </c>
      <c r="F147" t="s">
        <v>27</v>
      </c>
      <c r="G147" t="s">
        <v>21</v>
      </c>
      <c r="H147" t="s">
        <v>65</v>
      </c>
      <c r="I147" t="s">
        <v>23</v>
      </c>
      <c r="J147" t="s">
        <v>24</v>
      </c>
      <c r="K147" t="s">
        <v>64</v>
      </c>
      <c r="L147">
        <v>2</v>
      </c>
      <c r="M147">
        <v>5</v>
      </c>
      <c r="N147">
        <v>4</v>
      </c>
      <c r="O147">
        <v>3</v>
      </c>
      <c r="P147">
        <v>373.87</v>
      </c>
      <c r="Q147">
        <v>68</v>
      </c>
      <c r="S147">
        <f t="shared" si="8"/>
        <v>557.6865165165168</v>
      </c>
      <c r="T147">
        <f t="shared" si="9"/>
        <v>153</v>
      </c>
      <c r="U147">
        <f t="shared" si="10"/>
        <v>1.9139139139139139</v>
      </c>
      <c r="V147">
        <f t="shared" si="11"/>
        <v>557.6865165165168</v>
      </c>
    </row>
    <row r="148" spans="1:22" x14ac:dyDescent="0.25">
      <c r="A148">
        <v>3599</v>
      </c>
      <c r="B148" s="1">
        <v>43933</v>
      </c>
      <c r="C148" t="s">
        <v>37</v>
      </c>
      <c r="D148" t="s">
        <v>18</v>
      </c>
      <c r="E148" t="s">
        <v>28</v>
      </c>
      <c r="F148" t="s">
        <v>27</v>
      </c>
      <c r="G148" t="s">
        <v>21</v>
      </c>
      <c r="H148" t="s">
        <v>38</v>
      </c>
      <c r="I148" t="s">
        <v>23</v>
      </c>
      <c r="J148" t="s">
        <v>24</v>
      </c>
      <c r="K148" t="s">
        <v>25</v>
      </c>
      <c r="L148">
        <v>4</v>
      </c>
      <c r="M148">
        <v>4</v>
      </c>
      <c r="N148">
        <v>2</v>
      </c>
      <c r="O148">
        <v>5</v>
      </c>
      <c r="P148">
        <v>918.86</v>
      </c>
      <c r="Q148">
        <v>70</v>
      </c>
      <c r="S148">
        <f t="shared" si="8"/>
        <v>557.6865165165168</v>
      </c>
      <c r="T148">
        <f t="shared" si="9"/>
        <v>153</v>
      </c>
      <c r="U148">
        <f t="shared" si="10"/>
        <v>1.9139139139139139</v>
      </c>
      <c r="V148">
        <f t="shared" si="11"/>
        <v>557.6865165165168</v>
      </c>
    </row>
    <row r="149" spans="1:22" x14ac:dyDescent="0.25">
      <c r="A149">
        <v>3600</v>
      </c>
      <c r="B149" s="1">
        <v>44866</v>
      </c>
      <c r="C149" t="s">
        <v>43</v>
      </c>
      <c r="D149" t="s">
        <v>18</v>
      </c>
      <c r="E149" t="s">
        <v>19</v>
      </c>
      <c r="F149" t="s">
        <v>33</v>
      </c>
      <c r="G149" t="s">
        <v>21</v>
      </c>
      <c r="H149" t="s">
        <v>41</v>
      </c>
      <c r="I149" t="s">
        <v>23</v>
      </c>
      <c r="J149" t="s">
        <v>24</v>
      </c>
      <c r="K149" t="s">
        <v>25</v>
      </c>
      <c r="L149">
        <v>2</v>
      </c>
      <c r="M149">
        <v>1</v>
      </c>
      <c r="N149">
        <v>4</v>
      </c>
      <c r="O149">
        <v>4</v>
      </c>
      <c r="P149">
        <v>299.7</v>
      </c>
      <c r="Q149">
        <v>73</v>
      </c>
      <c r="S149">
        <f t="shared" si="8"/>
        <v>557.6865165165168</v>
      </c>
      <c r="T149">
        <f t="shared" si="9"/>
        <v>153</v>
      </c>
      <c r="U149">
        <f t="shared" si="10"/>
        <v>1.9139139139139139</v>
      </c>
      <c r="V149">
        <f t="shared" si="11"/>
        <v>557.6865165165168</v>
      </c>
    </row>
    <row r="150" spans="1:22" x14ac:dyDescent="0.25">
      <c r="A150">
        <v>3601</v>
      </c>
      <c r="B150" s="1">
        <v>44886</v>
      </c>
      <c r="C150" t="s">
        <v>40</v>
      </c>
      <c r="D150" t="s">
        <v>18</v>
      </c>
      <c r="E150" t="s">
        <v>28</v>
      </c>
      <c r="F150" t="s">
        <v>33</v>
      </c>
      <c r="G150" t="s">
        <v>21</v>
      </c>
      <c r="H150" t="s">
        <v>67</v>
      </c>
      <c r="I150" t="s">
        <v>23</v>
      </c>
      <c r="J150" t="s">
        <v>24</v>
      </c>
      <c r="K150" t="s">
        <v>25</v>
      </c>
      <c r="L150">
        <v>1</v>
      </c>
      <c r="M150">
        <v>1</v>
      </c>
      <c r="N150">
        <v>2</v>
      </c>
      <c r="O150">
        <v>1</v>
      </c>
      <c r="P150">
        <v>865.58</v>
      </c>
      <c r="Q150">
        <v>56</v>
      </c>
      <c r="S150">
        <f t="shared" si="8"/>
        <v>557.6865165165168</v>
      </c>
      <c r="T150">
        <f t="shared" si="9"/>
        <v>153</v>
      </c>
      <c r="U150">
        <f t="shared" si="10"/>
        <v>1.9139139139139139</v>
      </c>
      <c r="V150">
        <f t="shared" si="11"/>
        <v>557.6865165165168</v>
      </c>
    </row>
    <row r="151" spans="1:22" x14ac:dyDescent="0.25">
      <c r="A151">
        <v>3602</v>
      </c>
      <c r="B151" s="1">
        <v>44297</v>
      </c>
      <c r="C151" t="s">
        <v>17</v>
      </c>
      <c r="D151" t="s">
        <v>84</v>
      </c>
      <c r="E151" t="s">
        <v>32</v>
      </c>
      <c r="F151" t="s">
        <v>33</v>
      </c>
      <c r="G151" t="s">
        <v>21</v>
      </c>
      <c r="H151" t="s">
        <v>47</v>
      </c>
      <c r="I151" t="s">
        <v>23</v>
      </c>
      <c r="J151" t="s">
        <v>24</v>
      </c>
      <c r="K151" t="s">
        <v>25</v>
      </c>
      <c r="L151">
        <v>3</v>
      </c>
      <c r="M151">
        <v>3</v>
      </c>
      <c r="N151">
        <v>3</v>
      </c>
      <c r="O151">
        <v>1</v>
      </c>
      <c r="P151">
        <v>632.59</v>
      </c>
      <c r="Q151">
        <v>27</v>
      </c>
      <c r="S151">
        <f t="shared" si="8"/>
        <v>557.6865165165168</v>
      </c>
      <c r="T151">
        <f t="shared" si="9"/>
        <v>153</v>
      </c>
      <c r="U151">
        <f t="shared" si="10"/>
        <v>1.9139139139139139</v>
      </c>
      <c r="V151">
        <f t="shared" si="11"/>
        <v>557.6865165165168</v>
      </c>
    </row>
    <row r="152" spans="1:22" x14ac:dyDescent="0.25">
      <c r="A152">
        <v>3603</v>
      </c>
      <c r="B152" s="1">
        <v>43433</v>
      </c>
      <c r="C152" t="s">
        <v>26</v>
      </c>
      <c r="D152" t="s">
        <v>84</v>
      </c>
      <c r="E152" t="s">
        <v>32</v>
      </c>
      <c r="F152" t="s">
        <v>27</v>
      </c>
      <c r="G152" t="s">
        <v>21</v>
      </c>
      <c r="H152" t="s">
        <v>41</v>
      </c>
      <c r="I152" t="s">
        <v>23</v>
      </c>
      <c r="J152" t="s">
        <v>24</v>
      </c>
      <c r="K152" t="s">
        <v>25</v>
      </c>
      <c r="L152">
        <v>5</v>
      </c>
      <c r="M152">
        <v>1</v>
      </c>
      <c r="N152">
        <v>3</v>
      </c>
      <c r="O152">
        <v>3</v>
      </c>
      <c r="P152">
        <v>680.48</v>
      </c>
      <c r="Q152">
        <v>41</v>
      </c>
      <c r="S152">
        <f t="shared" si="8"/>
        <v>557.6865165165168</v>
      </c>
      <c r="T152">
        <f t="shared" si="9"/>
        <v>153</v>
      </c>
      <c r="U152">
        <f t="shared" si="10"/>
        <v>1.9139139139139139</v>
      </c>
      <c r="V152">
        <f t="shared" si="11"/>
        <v>557.6865165165168</v>
      </c>
    </row>
    <row r="153" spans="1:22" x14ac:dyDescent="0.25">
      <c r="A153">
        <v>3604</v>
      </c>
      <c r="B153" s="1">
        <v>43481</v>
      </c>
      <c r="C153" t="s">
        <v>54</v>
      </c>
      <c r="D153" t="s">
        <v>18</v>
      </c>
      <c r="E153" t="s">
        <v>28</v>
      </c>
      <c r="F153" t="s">
        <v>33</v>
      </c>
      <c r="G153" t="s">
        <v>21</v>
      </c>
      <c r="H153" t="s">
        <v>41</v>
      </c>
      <c r="I153" t="s">
        <v>23</v>
      </c>
      <c r="J153" t="s">
        <v>24</v>
      </c>
      <c r="K153" t="s">
        <v>64</v>
      </c>
      <c r="L153">
        <v>3</v>
      </c>
      <c r="M153">
        <v>5</v>
      </c>
      <c r="N153">
        <v>4</v>
      </c>
      <c r="O153">
        <v>3</v>
      </c>
      <c r="P153">
        <v>287.70999999999998</v>
      </c>
      <c r="Q153">
        <v>71</v>
      </c>
      <c r="S153">
        <f t="shared" si="8"/>
        <v>557.6865165165168</v>
      </c>
      <c r="T153">
        <f t="shared" si="9"/>
        <v>153</v>
      </c>
      <c r="U153">
        <f t="shared" si="10"/>
        <v>1.9139139139139139</v>
      </c>
      <c r="V153">
        <f t="shared" si="11"/>
        <v>557.6865165165168</v>
      </c>
    </row>
    <row r="154" spans="1:22" x14ac:dyDescent="0.25">
      <c r="A154">
        <v>3605</v>
      </c>
      <c r="B154" s="1">
        <v>43726</v>
      </c>
      <c r="C154" t="s">
        <v>17</v>
      </c>
      <c r="D154" t="s">
        <v>18</v>
      </c>
      <c r="E154" t="s">
        <v>19</v>
      </c>
      <c r="F154" t="s">
        <v>20</v>
      </c>
      <c r="G154" t="s">
        <v>21</v>
      </c>
      <c r="H154" t="s">
        <v>47</v>
      </c>
      <c r="I154" t="s">
        <v>23</v>
      </c>
      <c r="J154" t="s">
        <v>30</v>
      </c>
      <c r="K154" t="s">
        <v>25</v>
      </c>
      <c r="L154">
        <v>5</v>
      </c>
      <c r="M154">
        <v>1</v>
      </c>
      <c r="N154">
        <v>3</v>
      </c>
      <c r="O154">
        <v>2</v>
      </c>
      <c r="P154">
        <v>102.92</v>
      </c>
      <c r="Q154">
        <v>76</v>
      </c>
      <c r="S154">
        <f t="shared" si="8"/>
        <v>557.6865165165168</v>
      </c>
      <c r="T154">
        <f t="shared" si="9"/>
        <v>153</v>
      </c>
      <c r="U154">
        <f t="shared" si="10"/>
        <v>1.9139139139139139</v>
      </c>
      <c r="V154">
        <f t="shared" si="11"/>
        <v>557.6865165165168</v>
      </c>
    </row>
    <row r="155" spans="1:22" x14ac:dyDescent="0.25">
      <c r="A155">
        <v>3606</v>
      </c>
      <c r="B155" s="1">
        <v>43678</v>
      </c>
      <c r="C155" t="s">
        <v>52</v>
      </c>
      <c r="D155" t="s">
        <v>84</v>
      </c>
      <c r="E155" t="s">
        <v>28</v>
      </c>
      <c r="F155" t="s">
        <v>20</v>
      </c>
      <c r="G155" t="s">
        <v>21</v>
      </c>
      <c r="H155" t="s">
        <v>73</v>
      </c>
      <c r="I155" t="s">
        <v>23</v>
      </c>
      <c r="J155" t="s">
        <v>30</v>
      </c>
      <c r="K155" t="s">
        <v>25</v>
      </c>
      <c r="L155">
        <v>3</v>
      </c>
      <c r="M155">
        <v>5</v>
      </c>
      <c r="N155">
        <v>1</v>
      </c>
      <c r="O155">
        <v>2</v>
      </c>
      <c r="P155">
        <v>255.6</v>
      </c>
      <c r="Q155">
        <v>54</v>
      </c>
      <c r="S155">
        <f t="shared" si="8"/>
        <v>557.6865165165168</v>
      </c>
      <c r="T155">
        <f t="shared" si="9"/>
        <v>153</v>
      </c>
      <c r="U155">
        <f t="shared" si="10"/>
        <v>1.9139139139139139</v>
      </c>
      <c r="V155">
        <f t="shared" si="11"/>
        <v>557.6865165165168</v>
      </c>
    </row>
    <row r="156" spans="1:22" x14ac:dyDescent="0.25">
      <c r="A156">
        <v>3607</v>
      </c>
      <c r="B156" s="1">
        <v>43634</v>
      </c>
      <c r="C156" t="s">
        <v>26</v>
      </c>
      <c r="D156" t="s">
        <v>18</v>
      </c>
      <c r="E156" t="s">
        <v>32</v>
      </c>
      <c r="F156" t="s">
        <v>27</v>
      </c>
      <c r="G156" t="s">
        <v>21</v>
      </c>
      <c r="H156" t="s">
        <v>62</v>
      </c>
      <c r="I156" t="s">
        <v>23</v>
      </c>
      <c r="J156" t="s">
        <v>30</v>
      </c>
      <c r="K156" t="s">
        <v>25</v>
      </c>
      <c r="L156">
        <v>2</v>
      </c>
      <c r="M156">
        <v>4</v>
      </c>
      <c r="N156">
        <v>1</v>
      </c>
      <c r="O156">
        <v>4</v>
      </c>
      <c r="P156">
        <v>321.91000000000003</v>
      </c>
      <c r="Q156">
        <v>43</v>
      </c>
      <c r="S156">
        <f t="shared" si="8"/>
        <v>557.6865165165168</v>
      </c>
      <c r="T156">
        <f t="shared" si="9"/>
        <v>153</v>
      </c>
      <c r="U156">
        <f t="shared" si="10"/>
        <v>1.9139139139139139</v>
      </c>
      <c r="V156">
        <f t="shared" si="11"/>
        <v>557.6865165165168</v>
      </c>
    </row>
    <row r="157" spans="1:22" x14ac:dyDescent="0.25">
      <c r="A157">
        <v>3608</v>
      </c>
      <c r="B157" s="1">
        <v>43509</v>
      </c>
      <c r="C157" t="s">
        <v>54</v>
      </c>
      <c r="D157" t="s">
        <v>18</v>
      </c>
      <c r="E157" t="s">
        <v>32</v>
      </c>
      <c r="F157" t="s">
        <v>20</v>
      </c>
      <c r="G157" t="s">
        <v>21</v>
      </c>
      <c r="H157" t="s">
        <v>41</v>
      </c>
      <c r="I157" t="s">
        <v>23</v>
      </c>
      <c r="J157" t="s">
        <v>30</v>
      </c>
      <c r="K157" t="s">
        <v>25</v>
      </c>
      <c r="L157">
        <v>1</v>
      </c>
      <c r="M157">
        <v>3</v>
      </c>
      <c r="N157">
        <v>1</v>
      </c>
      <c r="O157">
        <v>3</v>
      </c>
      <c r="P157">
        <v>834.12</v>
      </c>
      <c r="Q157">
        <v>40</v>
      </c>
      <c r="S157">
        <f t="shared" si="8"/>
        <v>557.6865165165168</v>
      </c>
      <c r="T157">
        <f t="shared" si="9"/>
        <v>153</v>
      </c>
      <c r="U157">
        <f t="shared" si="10"/>
        <v>1.9139139139139139</v>
      </c>
      <c r="V157">
        <f t="shared" si="11"/>
        <v>557.6865165165168</v>
      </c>
    </row>
    <row r="158" spans="1:22" x14ac:dyDescent="0.25">
      <c r="A158">
        <v>3609</v>
      </c>
      <c r="B158" s="1">
        <v>44349</v>
      </c>
      <c r="C158" t="s">
        <v>37</v>
      </c>
      <c r="D158" t="s">
        <v>18</v>
      </c>
      <c r="E158" t="s">
        <v>19</v>
      </c>
      <c r="F158" t="s">
        <v>33</v>
      </c>
      <c r="G158" t="s">
        <v>21</v>
      </c>
      <c r="H158" t="s">
        <v>66</v>
      </c>
      <c r="I158" t="s">
        <v>23</v>
      </c>
      <c r="J158" t="s">
        <v>24</v>
      </c>
      <c r="K158" t="s">
        <v>25</v>
      </c>
      <c r="L158">
        <v>2</v>
      </c>
      <c r="M158">
        <v>2</v>
      </c>
      <c r="N158">
        <v>4</v>
      </c>
      <c r="O158">
        <v>4</v>
      </c>
      <c r="P158">
        <v>273.88</v>
      </c>
      <c r="Q158">
        <v>28</v>
      </c>
      <c r="S158">
        <f t="shared" si="8"/>
        <v>557.6865165165168</v>
      </c>
      <c r="T158">
        <f t="shared" si="9"/>
        <v>153</v>
      </c>
      <c r="U158">
        <f t="shared" si="10"/>
        <v>1.9139139139139139</v>
      </c>
      <c r="V158">
        <f t="shared" si="11"/>
        <v>557.6865165165168</v>
      </c>
    </row>
    <row r="159" spans="1:22" x14ac:dyDescent="0.25">
      <c r="A159">
        <v>3610</v>
      </c>
      <c r="B159" s="1">
        <v>43384</v>
      </c>
      <c r="C159" t="s">
        <v>60</v>
      </c>
      <c r="D159" t="s">
        <v>18</v>
      </c>
      <c r="E159" t="s">
        <v>28</v>
      </c>
      <c r="F159" t="s">
        <v>20</v>
      </c>
      <c r="G159" t="s">
        <v>21</v>
      </c>
      <c r="H159" t="s">
        <v>41</v>
      </c>
      <c r="I159" t="s">
        <v>23</v>
      </c>
      <c r="J159" t="s">
        <v>24</v>
      </c>
      <c r="K159" t="s">
        <v>25</v>
      </c>
      <c r="L159">
        <v>4</v>
      </c>
      <c r="M159">
        <v>5</v>
      </c>
      <c r="N159">
        <v>5</v>
      </c>
      <c r="O159">
        <v>4</v>
      </c>
      <c r="P159">
        <v>217.57</v>
      </c>
      <c r="Q159">
        <v>45</v>
      </c>
      <c r="S159">
        <f t="shared" si="8"/>
        <v>557.6865165165168</v>
      </c>
      <c r="T159">
        <f t="shared" si="9"/>
        <v>153</v>
      </c>
      <c r="U159">
        <f t="shared" si="10"/>
        <v>1.9139139139139139</v>
      </c>
      <c r="V159">
        <f t="shared" si="11"/>
        <v>557.6865165165168</v>
      </c>
    </row>
    <row r="160" spans="1:22" x14ac:dyDescent="0.25">
      <c r="A160">
        <v>3611</v>
      </c>
      <c r="B160" s="1">
        <v>44264</v>
      </c>
      <c r="C160" t="s">
        <v>43</v>
      </c>
      <c r="D160" t="s">
        <v>18</v>
      </c>
      <c r="E160" t="s">
        <v>19</v>
      </c>
      <c r="F160" t="s">
        <v>20</v>
      </c>
      <c r="G160" t="s">
        <v>21</v>
      </c>
      <c r="H160" t="s">
        <v>62</v>
      </c>
      <c r="I160" t="s">
        <v>23</v>
      </c>
      <c r="J160" t="s">
        <v>24</v>
      </c>
      <c r="K160" t="s">
        <v>25</v>
      </c>
      <c r="L160">
        <v>2</v>
      </c>
      <c r="M160">
        <v>3</v>
      </c>
      <c r="N160">
        <v>4</v>
      </c>
      <c r="O160">
        <v>1</v>
      </c>
      <c r="P160">
        <v>482.09</v>
      </c>
      <c r="Q160">
        <v>69</v>
      </c>
      <c r="S160">
        <f t="shared" si="8"/>
        <v>557.6865165165168</v>
      </c>
      <c r="T160">
        <f t="shared" si="9"/>
        <v>153</v>
      </c>
      <c r="U160">
        <f t="shared" si="10"/>
        <v>1.9139139139139139</v>
      </c>
      <c r="V160">
        <f t="shared" si="11"/>
        <v>557.6865165165168</v>
      </c>
    </row>
    <row r="161" spans="1:22" x14ac:dyDescent="0.25">
      <c r="A161">
        <v>3612</v>
      </c>
      <c r="B161" s="1">
        <v>44584</v>
      </c>
      <c r="C161" t="s">
        <v>49</v>
      </c>
      <c r="D161" t="s">
        <v>18</v>
      </c>
      <c r="E161" t="s">
        <v>19</v>
      </c>
      <c r="F161" t="s">
        <v>27</v>
      </c>
      <c r="G161" t="s">
        <v>21</v>
      </c>
      <c r="H161" t="s">
        <v>41</v>
      </c>
      <c r="I161" t="s">
        <v>23</v>
      </c>
      <c r="J161" t="s">
        <v>30</v>
      </c>
      <c r="K161" t="s">
        <v>72</v>
      </c>
      <c r="L161">
        <v>5</v>
      </c>
      <c r="M161">
        <v>3</v>
      </c>
      <c r="N161">
        <v>3</v>
      </c>
      <c r="O161">
        <v>2</v>
      </c>
      <c r="P161">
        <v>614.11</v>
      </c>
      <c r="Q161">
        <v>38</v>
      </c>
      <c r="S161">
        <f t="shared" si="8"/>
        <v>557.6865165165168</v>
      </c>
      <c r="T161">
        <f t="shared" si="9"/>
        <v>153</v>
      </c>
      <c r="U161">
        <f t="shared" si="10"/>
        <v>1.9139139139139139</v>
      </c>
      <c r="V161">
        <f t="shared" si="11"/>
        <v>557.6865165165168</v>
      </c>
    </row>
    <row r="162" spans="1:22" x14ac:dyDescent="0.25">
      <c r="A162">
        <v>3613</v>
      </c>
      <c r="B162" s="1">
        <v>43520</v>
      </c>
      <c r="C162" t="s">
        <v>31</v>
      </c>
      <c r="D162" t="s">
        <v>18</v>
      </c>
      <c r="E162" t="s">
        <v>19</v>
      </c>
      <c r="F162" t="s">
        <v>33</v>
      </c>
      <c r="G162" t="s">
        <v>21</v>
      </c>
      <c r="H162" t="s">
        <v>41</v>
      </c>
      <c r="I162" t="s">
        <v>23</v>
      </c>
      <c r="J162" t="s">
        <v>30</v>
      </c>
      <c r="K162" t="s">
        <v>46</v>
      </c>
      <c r="L162">
        <v>1</v>
      </c>
      <c r="M162">
        <v>5</v>
      </c>
      <c r="N162">
        <v>2</v>
      </c>
      <c r="O162">
        <v>1</v>
      </c>
      <c r="P162">
        <v>354.22</v>
      </c>
      <c r="Q162">
        <v>46</v>
      </c>
      <c r="S162">
        <f t="shared" si="8"/>
        <v>557.6865165165168</v>
      </c>
      <c r="T162">
        <f t="shared" si="9"/>
        <v>153</v>
      </c>
      <c r="U162">
        <f t="shared" si="10"/>
        <v>1.9139139139139139</v>
      </c>
      <c r="V162">
        <f t="shared" si="11"/>
        <v>557.6865165165168</v>
      </c>
    </row>
    <row r="163" spans="1:22" x14ac:dyDescent="0.25">
      <c r="A163">
        <v>3614</v>
      </c>
      <c r="B163" s="1">
        <v>43838</v>
      </c>
      <c r="C163" t="s">
        <v>40</v>
      </c>
      <c r="D163" t="s">
        <v>18</v>
      </c>
      <c r="E163" t="s">
        <v>19</v>
      </c>
      <c r="F163" t="s">
        <v>33</v>
      </c>
      <c r="G163" t="s">
        <v>21</v>
      </c>
      <c r="H163" t="s">
        <v>62</v>
      </c>
      <c r="I163" t="s">
        <v>23</v>
      </c>
      <c r="J163" t="s">
        <v>30</v>
      </c>
      <c r="K163" t="s">
        <v>25</v>
      </c>
      <c r="L163">
        <v>4</v>
      </c>
      <c r="M163">
        <v>5</v>
      </c>
      <c r="N163">
        <v>1</v>
      </c>
      <c r="O163">
        <v>3</v>
      </c>
      <c r="P163">
        <v>868.85</v>
      </c>
      <c r="Q163">
        <v>47</v>
      </c>
      <c r="S163">
        <f t="shared" si="8"/>
        <v>557.6865165165168</v>
      </c>
      <c r="T163">
        <f t="shared" si="9"/>
        <v>153</v>
      </c>
      <c r="U163">
        <f t="shared" si="10"/>
        <v>1.9139139139139139</v>
      </c>
      <c r="V163">
        <f t="shared" si="11"/>
        <v>557.6865165165168</v>
      </c>
    </row>
    <row r="164" spans="1:22" x14ac:dyDescent="0.25">
      <c r="A164">
        <v>3616</v>
      </c>
      <c r="B164" s="1">
        <v>44604</v>
      </c>
      <c r="C164" t="s">
        <v>52</v>
      </c>
      <c r="D164" t="s">
        <v>18</v>
      </c>
      <c r="E164" t="s">
        <v>19</v>
      </c>
      <c r="F164" t="s">
        <v>20</v>
      </c>
      <c r="G164" t="s">
        <v>21</v>
      </c>
      <c r="H164" t="s">
        <v>38</v>
      </c>
      <c r="I164" t="s">
        <v>23</v>
      </c>
      <c r="J164" t="s">
        <v>24</v>
      </c>
      <c r="K164" t="s">
        <v>25</v>
      </c>
      <c r="L164">
        <v>1</v>
      </c>
      <c r="M164">
        <v>1</v>
      </c>
      <c r="N164">
        <v>1</v>
      </c>
      <c r="O164">
        <v>4</v>
      </c>
      <c r="P164">
        <v>134.93</v>
      </c>
      <c r="Q164">
        <v>41</v>
      </c>
      <c r="S164">
        <f t="shared" si="8"/>
        <v>557.6865165165168</v>
      </c>
      <c r="T164">
        <f t="shared" si="9"/>
        <v>153</v>
      </c>
      <c r="U164">
        <f t="shared" si="10"/>
        <v>1.9139139139139139</v>
      </c>
      <c r="V164">
        <f t="shared" si="11"/>
        <v>557.6865165165168</v>
      </c>
    </row>
    <row r="165" spans="1:22" x14ac:dyDescent="0.25">
      <c r="A165">
        <v>3617</v>
      </c>
      <c r="B165" s="1">
        <v>44958</v>
      </c>
      <c r="C165" t="s">
        <v>26</v>
      </c>
      <c r="D165" t="s">
        <v>18</v>
      </c>
      <c r="E165" t="s">
        <v>32</v>
      </c>
      <c r="F165" t="s">
        <v>20</v>
      </c>
      <c r="G165" t="s">
        <v>21</v>
      </c>
      <c r="H165" t="s">
        <v>67</v>
      </c>
      <c r="I165" t="s">
        <v>23</v>
      </c>
      <c r="J165" t="s">
        <v>24</v>
      </c>
      <c r="K165" t="s">
        <v>25</v>
      </c>
      <c r="L165">
        <v>2</v>
      </c>
      <c r="M165">
        <v>3</v>
      </c>
      <c r="N165">
        <v>3</v>
      </c>
      <c r="O165">
        <v>5</v>
      </c>
      <c r="P165">
        <v>531.1</v>
      </c>
      <c r="Q165">
        <v>62</v>
      </c>
      <c r="S165">
        <f t="shared" si="8"/>
        <v>557.6865165165168</v>
      </c>
      <c r="T165">
        <f t="shared" si="9"/>
        <v>153</v>
      </c>
      <c r="U165">
        <f t="shared" si="10"/>
        <v>1.9139139139139139</v>
      </c>
      <c r="V165">
        <f t="shared" si="11"/>
        <v>557.6865165165168</v>
      </c>
    </row>
    <row r="166" spans="1:22" x14ac:dyDescent="0.25">
      <c r="A166">
        <v>3618</v>
      </c>
      <c r="B166" s="1">
        <v>44961</v>
      </c>
      <c r="C166" t="s">
        <v>54</v>
      </c>
      <c r="D166" t="s">
        <v>18</v>
      </c>
      <c r="E166" t="s">
        <v>28</v>
      </c>
      <c r="F166" t="s">
        <v>33</v>
      </c>
      <c r="G166" t="s">
        <v>21</v>
      </c>
      <c r="H166" t="s">
        <v>56</v>
      </c>
      <c r="I166" t="s">
        <v>23</v>
      </c>
      <c r="J166" t="s">
        <v>30</v>
      </c>
      <c r="K166" t="s">
        <v>25</v>
      </c>
      <c r="L166">
        <v>3</v>
      </c>
      <c r="M166">
        <v>4</v>
      </c>
      <c r="N166">
        <v>5</v>
      </c>
      <c r="O166">
        <v>3</v>
      </c>
      <c r="P166">
        <v>609.29999999999995</v>
      </c>
      <c r="Q166">
        <v>79</v>
      </c>
      <c r="S166">
        <f t="shared" si="8"/>
        <v>557.6865165165168</v>
      </c>
      <c r="T166">
        <f t="shared" si="9"/>
        <v>153</v>
      </c>
      <c r="U166">
        <f t="shared" si="10"/>
        <v>1.9139139139139139</v>
      </c>
      <c r="V166">
        <f t="shared" si="11"/>
        <v>557.6865165165168</v>
      </c>
    </row>
    <row r="167" spans="1:22" x14ac:dyDescent="0.25">
      <c r="A167">
        <v>3619</v>
      </c>
      <c r="B167" s="1">
        <v>45008</v>
      </c>
      <c r="C167" t="s">
        <v>37</v>
      </c>
      <c r="D167" t="s">
        <v>18</v>
      </c>
      <c r="E167" t="s">
        <v>32</v>
      </c>
      <c r="F167" t="s">
        <v>27</v>
      </c>
      <c r="G167" t="s">
        <v>21</v>
      </c>
      <c r="H167" t="s">
        <v>38</v>
      </c>
      <c r="I167" t="s">
        <v>23</v>
      </c>
      <c r="J167" t="s">
        <v>30</v>
      </c>
      <c r="K167" t="s">
        <v>25</v>
      </c>
      <c r="L167">
        <v>1</v>
      </c>
      <c r="M167">
        <v>5</v>
      </c>
      <c r="N167">
        <v>2</v>
      </c>
      <c r="O167">
        <v>2</v>
      </c>
      <c r="P167">
        <v>656.68</v>
      </c>
      <c r="Q167">
        <v>39</v>
      </c>
      <c r="S167">
        <f t="shared" si="8"/>
        <v>557.6865165165168</v>
      </c>
      <c r="T167">
        <f t="shared" si="9"/>
        <v>153</v>
      </c>
      <c r="U167">
        <f t="shared" si="10"/>
        <v>1.9139139139139139</v>
      </c>
      <c r="V167">
        <f t="shared" si="11"/>
        <v>557.6865165165168</v>
      </c>
    </row>
    <row r="168" spans="1:22" x14ac:dyDescent="0.25">
      <c r="A168">
        <v>3620</v>
      </c>
      <c r="B168" s="1">
        <v>45007</v>
      </c>
      <c r="C168" t="s">
        <v>60</v>
      </c>
      <c r="D168" t="s">
        <v>18</v>
      </c>
      <c r="E168" t="s">
        <v>28</v>
      </c>
      <c r="F168" t="s">
        <v>27</v>
      </c>
      <c r="G168" t="s">
        <v>21</v>
      </c>
      <c r="H168" t="s">
        <v>44</v>
      </c>
      <c r="I168" t="s">
        <v>23</v>
      </c>
      <c r="J168" t="s">
        <v>30</v>
      </c>
      <c r="K168" t="s">
        <v>25</v>
      </c>
      <c r="L168">
        <v>1</v>
      </c>
      <c r="M168">
        <v>2</v>
      </c>
      <c r="N168">
        <v>2</v>
      </c>
      <c r="O168">
        <v>3</v>
      </c>
      <c r="P168">
        <v>654.22</v>
      </c>
      <c r="Q168">
        <v>29</v>
      </c>
      <c r="S168">
        <f t="shared" si="8"/>
        <v>557.6865165165168</v>
      </c>
      <c r="T168">
        <f t="shared" si="9"/>
        <v>153</v>
      </c>
      <c r="U168">
        <f t="shared" si="10"/>
        <v>1.9139139139139139</v>
      </c>
      <c r="V168">
        <f t="shared" si="11"/>
        <v>557.6865165165168</v>
      </c>
    </row>
    <row r="169" spans="1:22" x14ac:dyDescent="0.25">
      <c r="A169">
        <v>3621</v>
      </c>
      <c r="B169" s="1">
        <v>43432</v>
      </c>
      <c r="C169" t="s">
        <v>43</v>
      </c>
      <c r="D169" t="s">
        <v>18</v>
      </c>
      <c r="E169" t="s">
        <v>19</v>
      </c>
      <c r="F169" t="s">
        <v>27</v>
      </c>
      <c r="G169" t="s">
        <v>21</v>
      </c>
      <c r="H169" t="s">
        <v>69</v>
      </c>
      <c r="I169" t="s">
        <v>23</v>
      </c>
      <c r="J169" t="s">
        <v>30</v>
      </c>
      <c r="K169" t="s">
        <v>25</v>
      </c>
      <c r="L169">
        <v>2</v>
      </c>
      <c r="M169">
        <v>3</v>
      </c>
      <c r="N169">
        <v>2</v>
      </c>
      <c r="O169">
        <v>3</v>
      </c>
      <c r="P169">
        <v>879.89</v>
      </c>
      <c r="Q169">
        <v>21</v>
      </c>
      <c r="S169">
        <f t="shared" si="8"/>
        <v>557.6865165165168</v>
      </c>
      <c r="T169">
        <f t="shared" si="9"/>
        <v>153</v>
      </c>
      <c r="U169">
        <f t="shared" si="10"/>
        <v>1.9139139139139139</v>
      </c>
      <c r="V169">
        <f t="shared" si="11"/>
        <v>557.6865165165168</v>
      </c>
    </row>
    <row r="170" spans="1:22" x14ac:dyDescent="0.25">
      <c r="A170">
        <v>3622</v>
      </c>
      <c r="B170" s="1">
        <v>44021</v>
      </c>
      <c r="C170" t="s">
        <v>52</v>
      </c>
      <c r="D170" t="s">
        <v>18</v>
      </c>
      <c r="E170" t="s">
        <v>28</v>
      </c>
      <c r="F170" t="s">
        <v>27</v>
      </c>
      <c r="G170" t="s">
        <v>21</v>
      </c>
      <c r="H170" t="s">
        <v>41</v>
      </c>
      <c r="I170" t="s">
        <v>23</v>
      </c>
      <c r="J170" t="s">
        <v>24</v>
      </c>
      <c r="K170" t="s">
        <v>25</v>
      </c>
      <c r="L170">
        <v>3</v>
      </c>
      <c r="M170">
        <v>1</v>
      </c>
      <c r="N170">
        <v>5</v>
      </c>
      <c r="O170">
        <v>1</v>
      </c>
      <c r="P170">
        <v>977.23</v>
      </c>
      <c r="Q170">
        <v>25</v>
      </c>
      <c r="S170">
        <f t="shared" si="8"/>
        <v>557.6865165165168</v>
      </c>
      <c r="T170">
        <f t="shared" si="9"/>
        <v>153</v>
      </c>
      <c r="U170">
        <f t="shared" si="10"/>
        <v>1.9139139139139139</v>
      </c>
      <c r="V170">
        <f t="shared" si="11"/>
        <v>557.6865165165168</v>
      </c>
    </row>
    <row r="171" spans="1:22" x14ac:dyDescent="0.25">
      <c r="A171">
        <v>3623</v>
      </c>
      <c r="B171" s="1">
        <v>43507</v>
      </c>
      <c r="C171" t="s">
        <v>26</v>
      </c>
      <c r="D171" t="s">
        <v>18</v>
      </c>
      <c r="E171" t="s">
        <v>28</v>
      </c>
      <c r="F171" t="s">
        <v>27</v>
      </c>
      <c r="G171" t="s">
        <v>21</v>
      </c>
      <c r="H171" t="s">
        <v>47</v>
      </c>
      <c r="I171" t="s">
        <v>23</v>
      </c>
      <c r="J171" t="s">
        <v>24</v>
      </c>
      <c r="K171" t="s">
        <v>25</v>
      </c>
      <c r="L171">
        <v>2</v>
      </c>
      <c r="M171">
        <v>2</v>
      </c>
      <c r="N171">
        <v>5</v>
      </c>
      <c r="O171">
        <v>2</v>
      </c>
      <c r="P171">
        <v>763.37</v>
      </c>
      <c r="Q171">
        <v>61</v>
      </c>
      <c r="S171">
        <f t="shared" si="8"/>
        <v>557.6865165165168</v>
      </c>
      <c r="T171">
        <f t="shared" si="9"/>
        <v>153</v>
      </c>
      <c r="U171">
        <f t="shared" si="10"/>
        <v>1.9139139139139139</v>
      </c>
      <c r="V171">
        <f t="shared" si="11"/>
        <v>557.6865165165168</v>
      </c>
    </row>
    <row r="172" spans="1:22" x14ac:dyDescent="0.25">
      <c r="A172">
        <v>3624</v>
      </c>
      <c r="B172" s="1">
        <v>43839</v>
      </c>
      <c r="C172" t="s">
        <v>54</v>
      </c>
      <c r="D172" t="s">
        <v>18</v>
      </c>
      <c r="E172" t="s">
        <v>28</v>
      </c>
      <c r="F172" t="s">
        <v>33</v>
      </c>
      <c r="G172" t="s">
        <v>21</v>
      </c>
      <c r="H172" t="s">
        <v>74</v>
      </c>
      <c r="I172" t="s">
        <v>23</v>
      </c>
      <c r="J172" t="s">
        <v>24</v>
      </c>
      <c r="K172" t="s">
        <v>25</v>
      </c>
      <c r="L172">
        <v>2</v>
      </c>
      <c r="M172">
        <v>2</v>
      </c>
      <c r="N172">
        <v>2</v>
      </c>
      <c r="O172">
        <v>5</v>
      </c>
      <c r="P172">
        <v>962.13</v>
      </c>
      <c r="Q172">
        <v>24</v>
      </c>
      <c r="S172">
        <f t="shared" si="8"/>
        <v>557.6865165165168</v>
      </c>
      <c r="T172">
        <f t="shared" si="9"/>
        <v>153</v>
      </c>
      <c r="U172">
        <f t="shared" si="10"/>
        <v>1.9139139139139139</v>
      </c>
      <c r="V172">
        <f t="shared" si="11"/>
        <v>557.6865165165168</v>
      </c>
    </row>
    <row r="173" spans="1:22" x14ac:dyDescent="0.25">
      <c r="A173">
        <v>3625</v>
      </c>
      <c r="B173" s="1">
        <v>44511</v>
      </c>
      <c r="C173" t="s">
        <v>37</v>
      </c>
      <c r="D173" t="s">
        <v>84</v>
      </c>
      <c r="E173" t="s">
        <v>19</v>
      </c>
      <c r="F173" t="s">
        <v>33</v>
      </c>
      <c r="G173" t="s">
        <v>21</v>
      </c>
      <c r="H173" t="s">
        <v>47</v>
      </c>
      <c r="I173" t="s">
        <v>23</v>
      </c>
      <c r="J173" t="s">
        <v>24</v>
      </c>
      <c r="K173" t="s">
        <v>25</v>
      </c>
      <c r="L173">
        <v>5</v>
      </c>
      <c r="M173">
        <v>2</v>
      </c>
      <c r="N173">
        <v>4</v>
      </c>
      <c r="O173">
        <v>2</v>
      </c>
      <c r="P173">
        <v>617.27</v>
      </c>
      <c r="Q173">
        <v>46</v>
      </c>
      <c r="S173">
        <f t="shared" si="8"/>
        <v>557.6865165165168</v>
      </c>
      <c r="T173">
        <f t="shared" si="9"/>
        <v>153</v>
      </c>
      <c r="U173">
        <f t="shared" si="10"/>
        <v>1.9139139139139139</v>
      </c>
      <c r="V173">
        <f t="shared" si="11"/>
        <v>557.6865165165168</v>
      </c>
    </row>
    <row r="174" spans="1:22" x14ac:dyDescent="0.25">
      <c r="A174">
        <v>3626</v>
      </c>
      <c r="B174" s="1">
        <v>44331</v>
      </c>
      <c r="C174" t="s">
        <v>60</v>
      </c>
      <c r="D174" t="s">
        <v>18</v>
      </c>
      <c r="E174" t="s">
        <v>32</v>
      </c>
      <c r="F174" t="s">
        <v>33</v>
      </c>
      <c r="G174" t="s">
        <v>21</v>
      </c>
      <c r="H174" t="s">
        <v>41</v>
      </c>
      <c r="I174" t="s">
        <v>23</v>
      </c>
      <c r="J174" t="s">
        <v>24</v>
      </c>
      <c r="K174" t="s">
        <v>25</v>
      </c>
      <c r="L174">
        <v>2</v>
      </c>
      <c r="M174">
        <v>5</v>
      </c>
      <c r="N174">
        <v>1</v>
      </c>
      <c r="O174">
        <v>2</v>
      </c>
      <c r="P174">
        <v>559.78</v>
      </c>
      <c r="Q174">
        <v>28</v>
      </c>
      <c r="S174">
        <f t="shared" si="8"/>
        <v>557.6865165165168</v>
      </c>
      <c r="T174">
        <f t="shared" si="9"/>
        <v>153</v>
      </c>
      <c r="U174">
        <f t="shared" si="10"/>
        <v>1.9139139139139139</v>
      </c>
      <c r="V174">
        <f t="shared" si="11"/>
        <v>557.6865165165168</v>
      </c>
    </row>
    <row r="175" spans="1:22" x14ac:dyDescent="0.25">
      <c r="A175">
        <v>3627</v>
      </c>
      <c r="B175" s="1">
        <v>43698</v>
      </c>
      <c r="C175" t="s">
        <v>43</v>
      </c>
      <c r="D175" t="s">
        <v>84</v>
      </c>
      <c r="E175" t="s">
        <v>19</v>
      </c>
      <c r="F175" t="s">
        <v>20</v>
      </c>
      <c r="G175" t="s">
        <v>21</v>
      </c>
      <c r="H175" t="s">
        <v>41</v>
      </c>
      <c r="I175" t="s">
        <v>23</v>
      </c>
      <c r="J175" t="s">
        <v>24</v>
      </c>
      <c r="K175" t="s">
        <v>25</v>
      </c>
      <c r="L175">
        <v>1</v>
      </c>
      <c r="M175">
        <v>1</v>
      </c>
      <c r="N175">
        <v>4</v>
      </c>
      <c r="O175">
        <v>5</v>
      </c>
      <c r="P175">
        <v>113.89</v>
      </c>
      <c r="Q175">
        <v>52</v>
      </c>
      <c r="S175">
        <f t="shared" si="8"/>
        <v>557.6865165165168</v>
      </c>
      <c r="T175">
        <f t="shared" si="9"/>
        <v>153</v>
      </c>
      <c r="U175">
        <f t="shared" si="10"/>
        <v>1.9139139139139139</v>
      </c>
      <c r="V175">
        <f t="shared" si="11"/>
        <v>557.6865165165168</v>
      </c>
    </row>
    <row r="176" spans="1:22" x14ac:dyDescent="0.25">
      <c r="A176">
        <v>3628</v>
      </c>
      <c r="B176" s="1">
        <v>44092</v>
      </c>
      <c r="C176" t="s">
        <v>49</v>
      </c>
      <c r="D176" t="s">
        <v>18</v>
      </c>
      <c r="E176" t="s">
        <v>19</v>
      </c>
      <c r="F176" t="s">
        <v>33</v>
      </c>
      <c r="G176" t="s">
        <v>21</v>
      </c>
      <c r="H176" t="s">
        <v>47</v>
      </c>
      <c r="I176" t="s">
        <v>23</v>
      </c>
      <c r="J176" t="s">
        <v>24</v>
      </c>
      <c r="K176" t="s">
        <v>25</v>
      </c>
      <c r="L176">
        <v>4</v>
      </c>
      <c r="M176">
        <v>3</v>
      </c>
      <c r="N176">
        <v>1</v>
      </c>
      <c r="O176">
        <v>4</v>
      </c>
      <c r="P176">
        <v>858.62</v>
      </c>
      <c r="Q176">
        <v>74</v>
      </c>
      <c r="S176">
        <f t="shared" si="8"/>
        <v>557.6865165165168</v>
      </c>
      <c r="T176">
        <f t="shared" si="9"/>
        <v>153</v>
      </c>
      <c r="U176">
        <f t="shared" si="10"/>
        <v>1.9139139139139139</v>
      </c>
      <c r="V176">
        <f t="shared" si="11"/>
        <v>557.6865165165168</v>
      </c>
    </row>
    <row r="177" spans="1:22" x14ac:dyDescent="0.25">
      <c r="A177">
        <v>3629</v>
      </c>
      <c r="B177" s="1">
        <v>44800</v>
      </c>
      <c r="C177" t="s">
        <v>49</v>
      </c>
      <c r="D177" t="s">
        <v>84</v>
      </c>
      <c r="E177" t="s">
        <v>19</v>
      </c>
      <c r="F177" t="s">
        <v>33</v>
      </c>
      <c r="G177" t="s">
        <v>21</v>
      </c>
      <c r="H177" t="s">
        <v>41</v>
      </c>
      <c r="I177" t="s">
        <v>23</v>
      </c>
      <c r="J177" t="s">
        <v>30</v>
      </c>
      <c r="K177" t="s">
        <v>25</v>
      </c>
      <c r="L177">
        <v>2</v>
      </c>
      <c r="M177">
        <v>4</v>
      </c>
      <c r="N177">
        <v>4</v>
      </c>
      <c r="O177">
        <v>1</v>
      </c>
      <c r="P177">
        <v>343.76</v>
      </c>
      <c r="Q177">
        <v>39</v>
      </c>
      <c r="S177">
        <f t="shared" si="8"/>
        <v>557.6865165165168</v>
      </c>
      <c r="T177">
        <f t="shared" si="9"/>
        <v>153</v>
      </c>
      <c r="U177">
        <f t="shared" si="10"/>
        <v>1.9139139139139139</v>
      </c>
      <c r="V177">
        <f t="shared" si="11"/>
        <v>557.6865165165168</v>
      </c>
    </row>
    <row r="178" spans="1:22" x14ac:dyDescent="0.25">
      <c r="A178">
        <v>3630</v>
      </c>
      <c r="B178" s="1">
        <v>43519</v>
      </c>
      <c r="C178" t="s">
        <v>54</v>
      </c>
      <c r="D178" t="s">
        <v>18</v>
      </c>
      <c r="E178" t="s">
        <v>19</v>
      </c>
      <c r="F178" t="s">
        <v>33</v>
      </c>
      <c r="G178" t="s">
        <v>21</v>
      </c>
      <c r="H178" t="s">
        <v>41</v>
      </c>
      <c r="I178" t="s">
        <v>23</v>
      </c>
      <c r="J178" t="s">
        <v>30</v>
      </c>
      <c r="K178" t="s">
        <v>25</v>
      </c>
      <c r="L178">
        <v>5</v>
      </c>
      <c r="M178">
        <v>3</v>
      </c>
      <c r="N178">
        <v>2</v>
      </c>
      <c r="O178">
        <v>5</v>
      </c>
      <c r="P178">
        <v>507.58</v>
      </c>
      <c r="Q178">
        <v>54</v>
      </c>
      <c r="S178">
        <f t="shared" si="8"/>
        <v>557.6865165165168</v>
      </c>
      <c r="T178">
        <f t="shared" si="9"/>
        <v>153</v>
      </c>
      <c r="U178">
        <f t="shared" si="10"/>
        <v>1.9139139139139139</v>
      </c>
      <c r="V178">
        <f t="shared" si="11"/>
        <v>557.6865165165168</v>
      </c>
    </row>
    <row r="179" spans="1:22" x14ac:dyDescent="0.25">
      <c r="A179">
        <v>3631</v>
      </c>
      <c r="B179" s="1">
        <v>44781</v>
      </c>
      <c r="C179" t="s">
        <v>26</v>
      </c>
      <c r="D179" t="s">
        <v>18</v>
      </c>
      <c r="E179" t="s">
        <v>19</v>
      </c>
      <c r="F179" t="s">
        <v>20</v>
      </c>
      <c r="G179" t="s">
        <v>21</v>
      </c>
      <c r="H179" t="s">
        <v>67</v>
      </c>
      <c r="I179" t="s">
        <v>23</v>
      </c>
      <c r="J179" t="s">
        <v>30</v>
      </c>
      <c r="K179" t="s">
        <v>25</v>
      </c>
      <c r="L179">
        <v>4</v>
      </c>
      <c r="M179">
        <v>1</v>
      </c>
      <c r="N179">
        <v>5</v>
      </c>
      <c r="O179">
        <v>1</v>
      </c>
      <c r="P179">
        <v>691.12</v>
      </c>
      <c r="Q179">
        <v>75</v>
      </c>
      <c r="S179">
        <f t="shared" si="8"/>
        <v>557.6865165165168</v>
      </c>
      <c r="T179">
        <f t="shared" si="9"/>
        <v>153</v>
      </c>
      <c r="U179">
        <f t="shared" si="10"/>
        <v>1.9139139139139139</v>
      </c>
      <c r="V179">
        <f t="shared" si="11"/>
        <v>557.6865165165168</v>
      </c>
    </row>
    <row r="180" spans="1:22" x14ac:dyDescent="0.25">
      <c r="A180">
        <v>3632</v>
      </c>
      <c r="B180" s="1">
        <v>44828</v>
      </c>
      <c r="C180" t="s">
        <v>17</v>
      </c>
      <c r="D180" t="s">
        <v>18</v>
      </c>
      <c r="E180" t="s">
        <v>19</v>
      </c>
      <c r="F180" t="s">
        <v>20</v>
      </c>
      <c r="G180" t="s">
        <v>21</v>
      </c>
      <c r="H180" t="s">
        <v>41</v>
      </c>
      <c r="I180" t="s">
        <v>23</v>
      </c>
      <c r="J180" t="s">
        <v>30</v>
      </c>
      <c r="K180" t="s">
        <v>25</v>
      </c>
      <c r="L180">
        <v>3</v>
      </c>
      <c r="M180">
        <v>4</v>
      </c>
      <c r="N180">
        <v>5</v>
      </c>
      <c r="O180">
        <v>2</v>
      </c>
      <c r="P180">
        <v>174.85</v>
      </c>
      <c r="Q180">
        <v>77</v>
      </c>
      <c r="S180">
        <f t="shared" si="8"/>
        <v>557.6865165165168</v>
      </c>
      <c r="T180">
        <f t="shared" si="9"/>
        <v>153</v>
      </c>
      <c r="U180">
        <f t="shared" si="10"/>
        <v>1.9139139139139139</v>
      </c>
      <c r="V180">
        <f t="shared" si="11"/>
        <v>557.6865165165168</v>
      </c>
    </row>
    <row r="181" spans="1:22" x14ac:dyDescent="0.25">
      <c r="A181">
        <v>3633</v>
      </c>
      <c r="B181" s="1">
        <v>44641</v>
      </c>
      <c r="C181" t="s">
        <v>40</v>
      </c>
      <c r="D181" t="s">
        <v>18</v>
      </c>
      <c r="E181" t="s">
        <v>19</v>
      </c>
      <c r="F181" t="s">
        <v>33</v>
      </c>
      <c r="G181" t="s">
        <v>21</v>
      </c>
      <c r="H181" t="s">
        <v>29</v>
      </c>
      <c r="I181" t="s">
        <v>23</v>
      </c>
      <c r="J181" t="s">
        <v>24</v>
      </c>
      <c r="K181" t="s">
        <v>25</v>
      </c>
      <c r="L181">
        <v>4</v>
      </c>
      <c r="M181">
        <v>4</v>
      </c>
      <c r="N181">
        <v>4</v>
      </c>
      <c r="O181">
        <v>3</v>
      </c>
      <c r="P181">
        <v>699.39</v>
      </c>
      <c r="Q181">
        <v>35</v>
      </c>
      <c r="S181">
        <f t="shared" si="8"/>
        <v>557.6865165165168</v>
      </c>
      <c r="T181">
        <f t="shared" si="9"/>
        <v>153</v>
      </c>
      <c r="U181">
        <f t="shared" si="10"/>
        <v>1.9139139139139139</v>
      </c>
      <c r="V181">
        <f t="shared" si="11"/>
        <v>557.6865165165168</v>
      </c>
    </row>
    <row r="182" spans="1:22" x14ac:dyDescent="0.25">
      <c r="A182">
        <v>3634</v>
      </c>
      <c r="B182" s="1">
        <v>45100</v>
      </c>
      <c r="C182" t="s">
        <v>60</v>
      </c>
      <c r="D182" t="s">
        <v>18</v>
      </c>
      <c r="E182" t="s">
        <v>28</v>
      </c>
      <c r="F182" t="s">
        <v>33</v>
      </c>
      <c r="G182" t="s">
        <v>21</v>
      </c>
      <c r="H182" t="s">
        <v>35</v>
      </c>
      <c r="I182" t="s">
        <v>23</v>
      </c>
      <c r="J182" t="s">
        <v>24</v>
      </c>
      <c r="K182" t="s">
        <v>25</v>
      </c>
      <c r="L182">
        <v>2</v>
      </c>
      <c r="M182">
        <v>5</v>
      </c>
      <c r="N182">
        <v>2</v>
      </c>
      <c r="O182">
        <v>3</v>
      </c>
      <c r="P182">
        <v>254.68</v>
      </c>
      <c r="Q182">
        <v>61</v>
      </c>
      <c r="S182">
        <f t="shared" si="8"/>
        <v>557.6865165165168</v>
      </c>
      <c r="T182">
        <f t="shared" si="9"/>
        <v>153</v>
      </c>
      <c r="U182">
        <f t="shared" si="10"/>
        <v>1.9139139139139139</v>
      </c>
      <c r="V182">
        <f t="shared" si="11"/>
        <v>557.6865165165168</v>
      </c>
    </row>
    <row r="183" spans="1:22" x14ac:dyDescent="0.25">
      <c r="A183">
        <v>3635</v>
      </c>
      <c r="B183" s="1">
        <v>44130</v>
      </c>
      <c r="C183" t="s">
        <v>43</v>
      </c>
      <c r="D183" t="s">
        <v>18</v>
      </c>
      <c r="E183" t="s">
        <v>28</v>
      </c>
      <c r="F183" t="s">
        <v>20</v>
      </c>
      <c r="G183" t="s">
        <v>21</v>
      </c>
      <c r="H183" t="s">
        <v>71</v>
      </c>
      <c r="I183" t="s">
        <v>23</v>
      </c>
      <c r="J183" t="s">
        <v>24</v>
      </c>
      <c r="K183" t="s">
        <v>25</v>
      </c>
      <c r="L183">
        <v>1</v>
      </c>
      <c r="M183">
        <v>5</v>
      </c>
      <c r="N183">
        <v>4</v>
      </c>
      <c r="O183">
        <v>2</v>
      </c>
      <c r="P183">
        <v>534.54999999999995</v>
      </c>
      <c r="Q183">
        <v>42</v>
      </c>
      <c r="S183">
        <f t="shared" si="8"/>
        <v>557.6865165165168</v>
      </c>
      <c r="T183">
        <f t="shared" si="9"/>
        <v>153</v>
      </c>
      <c r="U183">
        <f t="shared" si="10"/>
        <v>1.9139139139139139</v>
      </c>
      <c r="V183">
        <f t="shared" si="11"/>
        <v>557.6865165165168</v>
      </c>
    </row>
    <row r="184" spans="1:22" x14ac:dyDescent="0.25">
      <c r="A184">
        <v>3636</v>
      </c>
      <c r="B184" s="1">
        <v>43859</v>
      </c>
      <c r="C184" t="s">
        <v>49</v>
      </c>
      <c r="D184" t="s">
        <v>18</v>
      </c>
      <c r="E184" t="s">
        <v>19</v>
      </c>
      <c r="F184" t="s">
        <v>33</v>
      </c>
      <c r="G184" t="s">
        <v>21</v>
      </c>
      <c r="H184" t="s">
        <v>68</v>
      </c>
      <c r="I184" t="s">
        <v>23</v>
      </c>
      <c r="J184" t="s">
        <v>30</v>
      </c>
      <c r="K184" t="s">
        <v>25</v>
      </c>
      <c r="L184">
        <v>3</v>
      </c>
      <c r="M184">
        <v>5</v>
      </c>
      <c r="N184">
        <v>3</v>
      </c>
      <c r="O184">
        <v>3</v>
      </c>
      <c r="P184">
        <v>795.72</v>
      </c>
      <c r="Q184">
        <v>38</v>
      </c>
      <c r="S184">
        <f t="shared" si="8"/>
        <v>557.6865165165168</v>
      </c>
      <c r="T184">
        <f t="shared" si="9"/>
        <v>153</v>
      </c>
      <c r="U184">
        <f t="shared" si="10"/>
        <v>1.9139139139139139</v>
      </c>
      <c r="V184">
        <f t="shared" si="11"/>
        <v>557.6865165165168</v>
      </c>
    </row>
    <row r="185" spans="1:22" x14ac:dyDescent="0.25">
      <c r="A185">
        <v>3637</v>
      </c>
      <c r="B185" s="1">
        <v>44674</v>
      </c>
      <c r="C185" t="s">
        <v>31</v>
      </c>
      <c r="D185" t="s">
        <v>18</v>
      </c>
      <c r="E185" t="s">
        <v>32</v>
      </c>
      <c r="F185" t="s">
        <v>20</v>
      </c>
      <c r="G185" t="s">
        <v>21</v>
      </c>
      <c r="H185" t="s">
        <v>29</v>
      </c>
      <c r="I185" t="s">
        <v>23</v>
      </c>
      <c r="J185" t="s">
        <v>30</v>
      </c>
      <c r="K185" t="s">
        <v>25</v>
      </c>
      <c r="L185">
        <v>2</v>
      </c>
      <c r="M185">
        <v>1</v>
      </c>
      <c r="N185">
        <v>3</v>
      </c>
      <c r="O185">
        <v>4</v>
      </c>
      <c r="P185">
        <v>977.23</v>
      </c>
      <c r="Q185">
        <v>27</v>
      </c>
      <c r="S185">
        <f t="shared" si="8"/>
        <v>557.6865165165168</v>
      </c>
      <c r="T185">
        <f t="shared" si="9"/>
        <v>153</v>
      </c>
      <c r="U185">
        <f t="shared" si="10"/>
        <v>1.9139139139139139</v>
      </c>
      <c r="V185">
        <f t="shared" si="11"/>
        <v>557.6865165165168</v>
      </c>
    </row>
    <row r="186" spans="1:22" x14ac:dyDescent="0.25">
      <c r="A186">
        <v>3638</v>
      </c>
      <c r="B186" s="1">
        <v>45092</v>
      </c>
      <c r="C186" t="s">
        <v>40</v>
      </c>
      <c r="D186" t="s">
        <v>18</v>
      </c>
      <c r="E186" t="s">
        <v>32</v>
      </c>
      <c r="F186" t="s">
        <v>20</v>
      </c>
      <c r="G186" t="s">
        <v>21</v>
      </c>
      <c r="H186" t="s">
        <v>41</v>
      </c>
      <c r="I186" t="s">
        <v>23</v>
      </c>
      <c r="J186" t="s">
        <v>30</v>
      </c>
      <c r="K186" t="s">
        <v>25</v>
      </c>
      <c r="L186">
        <v>4</v>
      </c>
      <c r="M186">
        <v>5</v>
      </c>
      <c r="N186">
        <v>1</v>
      </c>
      <c r="O186">
        <v>3</v>
      </c>
      <c r="P186">
        <v>370.79</v>
      </c>
      <c r="Q186">
        <v>45</v>
      </c>
      <c r="S186">
        <f t="shared" si="8"/>
        <v>557.6865165165168</v>
      </c>
      <c r="T186">
        <f t="shared" si="9"/>
        <v>153</v>
      </c>
      <c r="U186">
        <f t="shared" si="10"/>
        <v>1.9139139139139139</v>
      </c>
      <c r="V186">
        <f t="shared" si="11"/>
        <v>557.6865165165168</v>
      </c>
    </row>
    <row r="187" spans="1:22" x14ac:dyDescent="0.25">
      <c r="A187">
        <v>3640</v>
      </c>
      <c r="B187" s="1">
        <v>44933</v>
      </c>
      <c r="C187" t="s">
        <v>52</v>
      </c>
      <c r="D187" t="s">
        <v>18</v>
      </c>
      <c r="E187" t="s">
        <v>19</v>
      </c>
      <c r="F187" t="s">
        <v>27</v>
      </c>
      <c r="G187" t="s">
        <v>21</v>
      </c>
      <c r="H187" t="s">
        <v>41</v>
      </c>
      <c r="I187" t="s">
        <v>23</v>
      </c>
      <c r="J187" t="s">
        <v>24</v>
      </c>
      <c r="K187" t="s">
        <v>25</v>
      </c>
      <c r="L187">
        <v>2</v>
      </c>
      <c r="M187">
        <v>1</v>
      </c>
      <c r="N187">
        <v>2</v>
      </c>
      <c r="O187">
        <v>1</v>
      </c>
      <c r="P187">
        <v>699.48</v>
      </c>
      <c r="Q187">
        <v>23</v>
      </c>
      <c r="S187">
        <f t="shared" si="8"/>
        <v>557.6865165165168</v>
      </c>
      <c r="T187">
        <f t="shared" si="9"/>
        <v>153</v>
      </c>
      <c r="U187">
        <f t="shared" si="10"/>
        <v>1.9139139139139139</v>
      </c>
      <c r="V187">
        <f t="shared" si="11"/>
        <v>557.6865165165168</v>
      </c>
    </row>
    <row r="188" spans="1:22" x14ac:dyDescent="0.25">
      <c r="A188">
        <v>3643</v>
      </c>
      <c r="B188" s="1">
        <v>43937</v>
      </c>
      <c r="C188" t="s">
        <v>37</v>
      </c>
      <c r="D188" t="s">
        <v>18</v>
      </c>
      <c r="E188" t="s">
        <v>32</v>
      </c>
      <c r="F188" t="s">
        <v>27</v>
      </c>
      <c r="G188" t="s">
        <v>21</v>
      </c>
      <c r="H188" t="s">
        <v>68</v>
      </c>
      <c r="I188" t="s">
        <v>23</v>
      </c>
      <c r="J188" t="s">
        <v>30</v>
      </c>
      <c r="K188" t="s">
        <v>25</v>
      </c>
      <c r="L188">
        <v>1</v>
      </c>
      <c r="M188">
        <v>5</v>
      </c>
      <c r="N188">
        <v>3</v>
      </c>
      <c r="O188">
        <v>4</v>
      </c>
      <c r="P188">
        <v>712.43</v>
      </c>
      <c r="Q188">
        <v>59</v>
      </c>
      <c r="S188">
        <f t="shared" si="8"/>
        <v>557.6865165165168</v>
      </c>
      <c r="T188">
        <f t="shared" si="9"/>
        <v>153</v>
      </c>
      <c r="U188">
        <f t="shared" si="10"/>
        <v>1.9139139139139139</v>
      </c>
      <c r="V188">
        <f t="shared" si="11"/>
        <v>557.6865165165168</v>
      </c>
    </row>
    <row r="189" spans="1:22" x14ac:dyDescent="0.25">
      <c r="A189">
        <v>3644</v>
      </c>
      <c r="B189" s="1">
        <v>44728</v>
      </c>
      <c r="C189" t="s">
        <v>60</v>
      </c>
      <c r="D189" t="s">
        <v>18</v>
      </c>
      <c r="E189" t="s">
        <v>28</v>
      </c>
      <c r="F189" t="s">
        <v>33</v>
      </c>
      <c r="G189" t="s">
        <v>21</v>
      </c>
      <c r="H189" t="s">
        <v>41</v>
      </c>
      <c r="I189" t="s">
        <v>23</v>
      </c>
      <c r="J189" t="s">
        <v>30</v>
      </c>
      <c r="K189" t="s">
        <v>25</v>
      </c>
      <c r="L189">
        <v>4</v>
      </c>
      <c r="M189">
        <v>4</v>
      </c>
      <c r="N189">
        <v>4</v>
      </c>
      <c r="O189">
        <v>1</v>
      </c>
      <c r="P189">
        <v>504.66</v>
      </c>
      <c r="Q189">
        <v>36</v>
      </c>
      <c r="S189">
        <f t="shared" si="8"/>
        <v>557.6865165165168</v>
      </c>
      <c r="T189">
        <f t="shared" si="9"/>
        <v>153</v>
      </c>
      <c r="U189">
        <f t="shared" si="10"/>
        <v>1.9139139139139139</v>
      </c>
      <c r="V189">
        <f t="shared" si="11"/>
        <v>557.6865165165168</v>
      </c>
    </row>
    <row r="190" spans="1:22" x14ac:dyDescent="0.25">
      <c r="A190">
        <v>3645</v>
      </c>
      <c r="B190" s="1">
        <v>43668</v>
      </c>
      <c r="C190" t="s">
        <v>43</v>
      </c>
      <c r="D190" t="s">
        <v>18</v>
      </c>
      <c r="E190" t="s">
        <v>28</v>
      </c>
      <c r="F190" t="s">
        <v>20</v>
      </c>
      <c r="G190" t="s">
        <v>21</v>
      </c>
      <c r="H190" t="s">
        <v>38</v>
      </c>
      <c r="I190" t="s">
        <v>23</v>
      </c>
      <c r="J190" t="s">
        <v>30</v>
      </c>
      <c r="K190" t="s">
        <v>25</v>
      </c>
      <c r="L190">
        <v>1</v>
      </c>
      <c r="M190">
        <v>3</v>
      </c>
      <c r="N190">
        <v>3</v>
      </c>
      <c r="O190">
        <v>5</v>
      </c>
      <c r="P190">
        <v>398.36</v>
      </c>
      <c r="Q190">
        <v>42</v>
      </c>
      <c r="S190">
        <f t="shared" si="8"/>
        <v>557.6865165165168</v>
      </c>
      <c r="T190">
        <f t="shared" si="9"/>
        <v>153</v>
      </c>
      <c r="U190">
        <f t="shared" si="10"/>
        <v>1.9139139139139139</v>
      </c>
      <c r="V190">
        <f t="shared" si="11"/>
        <v>557.6865165165168</v>
      </c>
    </row>
    <row r="191" spans="1:22" x14ac:dyDescent="0.25">
      <c r="A191">
        <v>3646</v>
      </c>
      <c r="B191" s="1">
        <v>45038</v>
      </c>
      <c r="C191" t="s">
        <v>52</v>
      </c>
      <c r="D191" t="s">
        <v>18</v>
      </c>
      <c r="E191" t="s">
        <v>28</v>
      </c>
      <c r="F191" t="s">
        <v>27</v>
      </c>
      <c r="G191" t="s">
        <v>21</v>
      </c>
      <c r="H191" t="s">
        <v>56</v>
      </c>
      <c r="I191" t="s">
        <v>23</v>
      </c>
      <c r="J191" t="s">
        <v>24</v>
      </c>
      <c r="K191" t="s">
        <v>25</v>
      </c>
      <c r="L191">
        <v>5</v>
      </c>
      <c r="M191">
        <v>4</v>
      </c>
      <c r="N191">
        <v>4</v>
      </c>
      <c r="O191">
        <v>4</v>
      </c>
      <c r="P191">
        <v>533.61</v>
      </c>
      <c r="Q191">
        <v>55</v>
      </c>
      <c r="S191">
        <f t="shared" si="8"/>
        <v>557.6865165165168</v>
      </c>
      <c r="T191">
        <f t="shared" si="9"/>
        <v>153</v>
      </c>
      <c r="U191">
        <f t="shared" si="10"/>
        <v>1.9139139139139139</v>
      </c>
      <c r="V191">
        <f t="shared" si="11"/>
        <v>557.6865165165168</v>
      </c>
    </row>
    <row r="192" spans="1:22" x14ac:dyDescent="0.25">
      <c r="A192">
        <v>3647</v>
      </c>
      <c r="B192" s="1">
        <v>44193</v>
      </c>
      <c r="C192" t="s">
        <v>26</v>
      </c>
      <c r="D192" t="s">
        <v>84</v>
      </c>
      <c r="E192" t="s">
        <v>28</v>
      </c>
      <c r="F192" t="s">
        <v>27</v>
      </c>
      <c r="G192" t="s">
        <v>21</v>
      </c>
      <c r="H192" t="s">
        <v>47</v>
      </c>
      <c r="I192" t="s">
        <v>23</v>
      </c>
      <c r="J192" t="s">
        <v>24</v>
      </c>
      <c r="K192" t="s">
        <v>25</v>
      </c>
      <c r="L192">
        <v>2</v>
      </c>
      <c r="M192">
        <v>4</v>
      </c>
      <c r="N192">
        <v>4</v>
      </c>
      <c r="O192">
        <v>4</v>
      </c>
      <c r="P192">
        <v>199.55</v>
      </c>
      <c r="Q192">
        <v>54</v>
      </c>
      <c r="S192">
        <f t="shared" si="8"/>
        <v>557.6865165165168</v>
      </c>
      <c r="T192">
        <f t="shared" si="9"/>
        <v>153</v>
      </c>
      <c r="U192">
        <f t="shared" si="10"/>
        <v>1.9139139139139139</v>
      </c>
      <c r="V192">
        <f t="shared" si="11"/>
        <v>557.6865165165168</v>
      </c>
    </row>
    <row r="193" spans="1:22" x14ac:dyDescent="0.25">
      <c r="A193">
        <v>3648</v>
      </c>
      <c r="B193" s="1">
        <v>44615</v>
      </c>
      <c r="C193" t="s">
        <v>54</v>
      </c>
      <c r="D193" t="s">
        <v>18</v>
      </c>
      <c r="E193" t="s">
        <v>19</v>
      </c>
      <c r="F193" t="s">
        <v>27</v>
      </c>
      <c r="G193" t="s">
        <v>21</v>
      </c>
      <c r="H193" t="s">
        <v>29</v>
      </c>
      <c r="I193" t="s">
        <v>23</v>
      </c>
      <c r="J193" t="s">
        <v>24</v>
      </c>
      <c r="K193" t="s">
        <v>46</v>
      </c>
      <c r="L193">
        <v>3</v>
      </c>
      <c r="M193">
        <v>3</v>
      </c>
      <c r="N193">
        <v>5</v>
      </c>
      <c r="O193">
        <v>2</v>
      </c>
      <c r="P193">
        <v>325.77999999999997</v>
      </c>
      <c r="Q193">
        <v>74</v>
      </c>
      <c r="S193">
        <f t="shared" si="8"/>
        <v>557.6865165165168</v>
      </c>
      <c r="T193">
        <f t="shared" si="9"/>
        <v>153</v>
      </c>
      <c r="U193">
        <f t="shared" si="10"/>
        <v>1.9139139139139139</v>
      </c>
      <c r="V193">
        <f t="shared" si="11"/>
        <v>557.6865165165168</v>
      </c>
    </row>
    <row r="194" spans="1:22" x14ac:dyDescent="0.25">
      <c r="A194">
        <v>3649</v>
      </c>
      <c r="B194" s="1">
        <v>44786</v>
      </c>
      <c r="C194" t="s">
        <v>37</v>
      </c>
      <c r="D194" t="s">
        <v>18</v>
      </c>
      <c r="E194" t="s">
        <v>19</v>
      </c>
      <c r="F194" t="s">
        <v>27</v>
      </c>
      <c r="G194" t="s">
        <v>21</v>
      </c>
      <c r="H194" t="s">
        <v>41</v>
      </c>
      <c r="I194" t="s">
        <v>23</v>
      </c>
      <c r="J194" t="s">
        <v>24</v>
      </c>
      <c r="K194" t="s">
        <v>46</v>
      </c>
      <c r="L194">
        <v>1</v>
      </c>
      <c r="M194">
        <v>2</v>
      </c>
      <c r="N194">
        <v>2</v>
      </c>
      <c r="O194">
        <v>4</v>
      </c>
      <c r="P194">
        <v>336.33</v>
      </c>
      <c r="Q194">
        <v>54</v>
      </c>
      <c r="S194">
        <f t="shared" ref="S194:S257" si="12">AVERAGE(P:P)-1</f>
        <v>557.6865165165168</v>
      </c>
      <c r="T194">
        <f t="shared" ref="T194:T257" si="13">COUNTIF(D:D,"Inactive")</f>
        <v>153</v>
      </c>
      <c r="U194">
        <f t="shared" ref="U194:U257" si="14">AVERAGE(L:L)-1</f>
        <v>1.9139139139139139</v>
      </c>
      <c r="V194">
        <f t="shared" ref="V194:V257" si="15">AVERAGE(P:P)-1</f>
        <v>557.6865165165168</v>
      </c>
    </row>
    <row r="195" spans="1:22" x14ac:dyDescent="0.25">
      <c r="A195">
        <v>3650</v>
      </c>
      <c r="B195" s="1">
        <v>43741</v>
      </c>
      <c r="C195" t="s">
        <v>60</v>
      </c>
      <c r="D195" t="s">
        <v>84</v>
      </c>
      <c r="E195" t="s">
        <v>32</v>
      </c>
      <c r="F195" t="s">
        <v>33</v>
      </c>
      <c r="G195" t="s">
        <v>21</v>
      </c>
      <c r="H195" t="s">
        <v>41</v>
      </c>
      <c r="I195" t="s">
        <v>23</v>
      </c>
      <c r="J195" t="s">
        <v>24</v>
      </c>
      <c r="K195" t="s">
        <v>25</v>
      </c>
      <c r="L195">
        <v>3</v>
      </c>
      <c r="M195">
        <v>2</v>
      </c>
      <c r="N195">
        <v>4</v>
      </c>
      <c r="O195">
        <v>4</v>
      </c>
      <c r="P195">
        <v>242.71</v>
      </c>
      <c r="Q195">
        <v>28</v>
      </c>
      <c r="S195">
        <f t="shared" si="12"/>
        <v>557.6865165165168</v>
      </c>
      <c r="T195">
        <f t="shared" si="13"/>
        <v>153</v>
      </c>
      <c r="U195">
        <f t="shared" si="14"/>
        <v>1.9139139139139139</v>
      </c>
      <c r="V195">
        <f t="shared" si="15"/>
        <v>557.6865165165168</v>
      </c>
    </row>
    <row r="196" spans="1:22" x14ac:dyDescent="0.25">
      <c r="A196">
        <v>3651</v>
      </c>
      <c r="B196" s="1">
        <v>43752</v>
      </c>
      <c r="C196" t="s">
        <v>43</v>
      </c>
      <c r="D196" t="s">
        <v>18</v>
      </c>
      <c r="E196" t="s">
        <v>32</v>
      </c>
      <c r="F196" t="s">
        <v>20</v>
      </c>
      <c r="G196" t="s">
        <v>21</v>
      </c>
      <c r="H196" t="s">
        <v>38</v>
      </c>
      <c r="I196" t="s">
        <v>23</v>
      </c>
      <c r="J196" t="s">
        <v>24</v>
      </c>
      <c r="K196" t="s">
        <v>25</v>
      </c>
      <c r="L196">
        <v>1</v>
      </c>
      <c r="M196">
        <v>4</v>
      </c>
      <c r="N196">
        <v>1</v>
      </c>
      <c r="O196">
        <v>4</v>
      </c>
      <c r="P196">
        <v>651.28</v>
      </c>
      <c r="Q196">
        <v>28</v>
      </c>
      <c r="S196">
        <f t="shared" si="12"/>
        <v>557.6865165165168</v>
      </c>
      <c r="T196">
        <f t="shared" si="13"/>
        <v>153</v>
      </c>
      <c r="U196">
        <f t="shared" si="14"/>
        <v>1.9139139139139139</v>
      </c>
      <c r="V196">
        <f t="shared" si="15"/>
        <v>557.6865165165168</v>
      </c>
    </row>
    <row r="197" spans="1:22" x14ac:dyDescent="0.25">
      <c r="A197">
        <v>3652</v>
      </c>
      <c r="B197" s="1">
        <v>43707</v>
      </c>
      <c r="C197" t="s">
        <v>49</v>
      </c>
      <c r="D197" t="s">
        <v>84</v>
      </c>
      <c r="E197" t="s">
        <v>28</v>
      </c>
      <c r="F197" t="s">
        <v>20</v>
      </c>
      <c r="G197" t="s">
        <v>21</v>
      </c>
      <c r="H197" t="s">
        <v>41</v>
      </c>
      <c r="I197" t="s">
        <v>23</v>
      </c>
      <c r="J197" t="s">
        <v>30</v>
      </c>
      <c r="K197" t="s">
        <v>25</v>
      </c>
      <c r="L197">
        <v>1</v>
      </c>
      <c r="M197">
        <v>5</v>
      </c>
      <c r="N197">
        <v>2</v>
      </c>
      <c r="O197">
        <v>3</v>
      </c>
      <c r="P197">
        <v>962.45</v>
      </c>
      <c r="Q197">
        <v>73</v>
      </c>
      <c r="S197">
        <f t="shared" si="12"/>
        <v>557.6865165165168</v>
      </c>
      <c r="T197">
        <f t="shared" si="13"/>
        <v>153</v>
      </c>
      <c r="U197">
        <f t="shared" si="14"/>
        <v>1.9139139139139139</v>
      </c>
      <c r="V197">
        <f t="shared" si="15"/>
        <v>557.6865165165168</v>
      </c>
    </row>
    <row r="198" spans="1:22" x14ac:dyDescent="0.25">
      <c r="A198">
        <v>3653</v>
      </c>
      <c r="B198" s="1">
        <v>44231</v>
      </c>
      <c r="C198" t="s">
        <v>31</v>
      </c>
      <c r="D198" t="s">
        <v>84</v>
      </c>
      <c r="E198" t="s">
        <v>19</v>
      </c>
      <c r="F198" t="s">
        <v>33</v>
      </c>
      <c r="G198" t="s">
        <v>21</v>
      </c>
      <c r="H198" t="s">
        <v>38</v>
      </c>
      <c r="I198" t="s">
        <v>23</v>
      </c>
      <c r="J198" t="s">
        <v>30</v>
      </c>
      <c r="K198" t="s">
        <v>46</v>
      </c>
      <c r="L198">
        <v>4</v>
      </c>
      <c r="M198">
        <v>4</v>
      </c>
      <c r="N198">
        <v>3</v>
      </c>
      <c r="O198">
        <v>1</v>
      </c>
      <c r="P198">
        <v>791.72</v>
      </c>
      <c r="Q198">
        <v>26</v>
      </c>
      <c r="S198">
        <f t="shared" si="12"/>
        <v>557.6865165165168</v>
      </c>
      <c r="T198">
        <f t="shared" si="13"/>
        <v>153</v>
      </c>
      <c r="U198">
        <f t="shared" si="14"/>
        <v>1.9139139139139139</v>
      </c>
      <c r="V198">
        <f t="shared" si="15"/>
        <v>557.6865165165168</v>
      </c>
    </row>
    <row r="199" spans="1:22" x14ac:dyDescent="0.25">
      <c r="A199">
        <v>3654</v>
      </c>
      <c r="B199" s="1">
        <v>44888</v>
      </c>
      <c r="C199" t="s">
        <v>60</v>
      </c>
      <c r="D199" t="s">
        <v>18</v>
      </c>
      <c r="E199" t="s">
        <v>28</v>
      </c>
      <c r="F199" t="s">
        <v>27</v>
      </c>
      <c r="G199" t="s">
        <v>21</v>
      </c>
      <c r="H199" t="s">
        <v>29</v>
      </c>
      <c r="I199" t="s">
        <v>23</v>
      </c>
      <c r="J199" t="s">
        <v>30</v>
      </c>
      <c r="K199" t="s">
        <v>46</v>
      </c>
      <c r="L199">
        <v>2</v>
      </c>
      <c r="M199">
        <v>4</v>
      </c>
      <c r="N199">
        <v>1</v>
      </c>
      <c r="O199">
        <v>4</v>
      </c>
      <c r="P199">
        <v>553.86</v>
      </c>
      <c r="Q199">
        <v>27</v>
      </c>
      <c r="S199">
        <f t="shared" si="12"/>
        <v>557.6865165165168</v>
      </c>
      <c r="T199">
        <f t="shared" si="13"/>
        <v>153</v>
      </c>
      <c r="U199">
        <f t="shared" si="14"/>
        <v>1.9139139139139139</v>
      </c>
      <c r="V199">
        <f t="shared" si="15"/>
        <v>557.6865165165168</v>
      </c>
    </row>
    <row r="200" spans="1:22" x14ac:dyDescent="0.25">
      <c r="A200">
        <v>3655</v>
      </c>
      <c r="B200" s="1">
        <v>44982</v>
      </c>
      <c r="C200" t="s">
        <v>52</v>
      </c>
      <c r="D200" t="s">
        <v>18</v>
      </c>
      <c r="E200" t="s">
        <v>28</v>
      </c>
      <c r="F200" t="s">
        <v>20</v>
      </c>
      <c r="G200" t="s">
        <v>21</v>
      </c>
      <c r="H200" t="s">
        <v>47</v>
      </c>
      <c r="I200" t="s">
        <v>23</v>
      </c>
      <c r="J200" t="s">
        <v>30</v>
      </c>
      <c r="K200" t="s">
        <v>25</v>
      </c>
      <c r="L200">
        <v>1</v>
      </c>
      <c r="M200">
        <v>5</v>
      </c>
      <c r="N200">
        <v>1</v>
      </c>
      <c r="O200">
        <v>1</v>
      </c>
      <c r="P200">
        <v>735.72</v>
      </c>
      <c r="Q200">
        <v>25</v>
      </c>
      <c r="S200">
        <f t="shared" si="12"/>
        <v>557.6865165165168</v>
      </c>
      <c r="T200">
        <f t="shared" si="13"/>
        <v>153</v>
      </c>
      <c r="U200">
        <f t="shared" si="14"/>
        <v>1.9139139139139139</v>
      </c>
      <c r="V200">
        <f t="shared" si="15"/>
        <v>557.6865165165168</v>
      </c>
    </row>
    <row r="201" spans="1:22" x14ac:dyDescent="0.25">
      <c r="A201">
        <v>3656</v>
      </c>
      <c r="B201" s="1">
        <v>43814</v>
      </c>
      <c r="C201" t="s">
        <v>37</v>
      </c>
      <c r="D201" t="s">
        <v>18</v>
      </c>
      <c r="E201" t="s">
        <v>28</v>
      </c>
      <c r="F201" t="s">
        <v>33</v>
      </c>
      <c r="G201" t="s">
        <v>21</v>
      </c>
      <c r="H201" t="s">
        <v>75</v>
      </c>
      <c r="I201" t="s">
        <v>23</v>
      </c>
      <c r="J201" t="s">
        <v>30</v>
      </c>
      <c r="K201" t="s">
        <v>46</v>
      </c>
      <c r="L201">
        <v>5</v>
      </c>
      <c r="M201">
        <v>3</v>
      </c>
      <c r="N201">
        <v>2</v>
      </c>
      <c r="O201">
        <v>4</v>
      </c>
      <c r="P201">
        <v>867.03</v>
      </c>
      <c r="Q201">
        <v>18</v>
      </c>
      <c r="S201">
        <f t="shared" si="12"/>
        <v>557.6865165165168</v>
      </c>
      <c r="T201">
        <f t="shared" si="13"/>
        <v>153</v>
      </c>
      <c r="U201">
        <f t="shared" si="14"/>
        <v>1.9139139139139139</v>
      </c>
      <c r="V201">
        <f t="shared" si="15"/>
        <v>557.6865165165168</v>
      </c>
    </row>
    <row r="202" spans="1:22" x14ac:dyDescent="0.25">
      <c r="A202">
        <v>3657</v>
      </c>
      <c r="B202" s="1">
        <v>44437</v>
      </c>
      <c r="C202" t="s">
        <v>43</v>
      </c>
      <c r="D202" t="s">
        <v>18</v>
      </c>
      <c r="E202" t="s">
        <v>28</v>
      </c>
      <c r="F202" t="s">
        <v>20</v>
      </c>
      <c r="G202" t="s">
        <v>21</v>
      </c>
      <c r="H202" t="s">
        <v>38</v>
      </c>
      <c r="I202" t="s">
        <v>23</v>
      </c>
      <c r="J202" t="s">
        <v>24</v>
      </c>
      <c r="K202" t="s">
        <v>25</v>
      </c>
      <c r="L202">
        <v>4</v>
      </c>
      <c r="M202">
        <v>2</v>
      </c>
      <c r="N202">
        <v>4</v>
      </c>
      <c r="O202">
        <v>1</v>
      </c>
      <c r="P202">
        <v>710.14</v>
      </c>
      <c r="Q202">
        <v>29</v>
      </c>
      <c r="S202">
        <f t="shared" si="12"/>
        <v>557.6865165165168</v>
      </c>
      <c r="T202">
        <f t="shared" si="13"/>
        <v>153</v>
      </c>
      <c r="U202">
        <f t="shared" si="14"/>
        <v>1.9139139139139139</v>
      </c>
      <c r="V202">
        <f t="shared" si="15"/>
        <v>557.6865165165168</v>
      </c>
    </row>
    <row r="203" spans="1:22" x14ac:dyDescent="0.25">
      <c r="A203">
        <v>3658</v>
      </c>
      <c r="B203" s="1">
        <v>44869</v>
      </c>
      <c r="C203" t="s">
        <v>40</v>
      </c>
      <c r="D203" t="s">
        <v>18</v>
      </c>
      <c r="E203" t="s">
        <v>28</v>
      </c>
      <c r="F203" t="s">
        <v>20</v>
      </c>
      <c r="G203" t="s">
        <v>21</v>
      </c>
      <c r="H203" t="s">
        <v>62</v>
      </c>
      <c r="I203" t="s">
        <v>23</v>
      </c>
      <c r="J203" t="s">
        <v>24</v>
      </c>
      <c r="K203" t="s">
        <v>25</v>
      </c>
      <c r="L203">
        <v>5</v>
      </c>
      <c r="M203">
        <v>4</v>
      </c>
      <c r="N203">
        <v>2</v>
      </c>
      <c r="O203">
        <v>2</v>
      </c>
      <c r="P203">
        <v>799.88</v>
      </c>
      <c r="Q203">
        <v>56</v>
      </c>
      <c r="S203">
        <f t="shared" si="12"/>
        <v>557.6865165165168</v>
      </c>
      <c r="T203">
        <f t="shared" si="13"/>
        <v>153</v>
      </c>
      <c r="U203">
        <f t="shared" si="14"/>
        <v>1.9139139139139139</v>
      </c>
      <c r="V203">
        <f t="shared" si="15"/>
        <v>557.6865165165168</v>
      </c>
    </row>
    <row r="204" spans="1:22" x14ac:dyDescent="0.25">
      <c r="A204">
        <v>3659</v>
      </c>
      <c r="B204" s="1">
        <v>43740</v>
      </c>
      <c r="C204" t="s">
        <v>17</v>
      </c>
      <c r="D204" t="s">
        <v>18</v>
      </c>
      <c r="E204" t="s">
        <v>32</v>
      </c>
      <c r="F204" t="s">
        <v>27</v>
      </c>
      <c r="G204" t="s">
        <v>21</v>
      </c>
      <c r="H204" t="s">
        <v>41</v>
      </c>
      <c r="I204" t="s">
        <v>23</v>
      </c>
      <c r="J204" t="s">
        <v>30</v>
      </c>
      <c r="K204" t="s">
        <v>46</v>
      </c>
      <c r="L204">
        <v>3</v>
      </c>
      <c r="M204">
        <v>1</v>
      </c>
      <c r="N204">
        <v>5</v>
      </c>
      <c r="O204">
        <v>5</v>
      </c>
      <c r="P204">
        <v>242.87</v>
      </c>
      <c r="Q204">
        <v>30</v>
      </c>
      <c r="S204">
        <f t="shared" si="12"/>
        <v>557.6865165165168</v>
      </c>
      <c r="T204">
        <f t="shared" si="13"/>
        <v>153</v>
      </c>
      <c r="U204">
        <f t="shared" si="14"/>
        <v>1.9139139139139139</v>
      </c>
      <c r="V204">
        <f t="shared" si="15"/>
        <v>557.6865165165168</v>
      </c>
    </row>
    <row r="205" spans="1:22" x14ac:dyDescent="0.25">
      <c r="A205">
        <v>3660</v>
      </c>
      <c r="B205" s="1">
        <v>43609</v>
      </c>
      <c r="C205" t="s">
        <v>26</v>
      </c>
      <c r="D205" t="s">
        <v>18</v>
      </c>
      <c r="E205" t="s">
        <v>32</v>
      </c>
      <c r="F205" t="s">
        <v>27</v>
      </c>
      <c r="G205" t="s">
        <v>21</v>
      </c>
      <c r="H205" t="s">
        <v>41</v>
      </c>
      <c r="I205" t="s">
        <v>23</v>
      </c>
      <c r="J205" t="s">
        <v>30</v>
      </c>
      <c r="K205" t="s">
        <v>46</v>
      </c>
      <c r="L205">
        <v>3</v>
      </c>
      <c r="M205">
        <v>2</v>
      </c>
      <c r="N205">
        <v>4</v>
      </c>
      <c r="O205">
        <v>4</v>
      </c>
      <c r="P205">
        <v>849.77</v>
      </c>
      <c r="Q205">
        <v>45</v>
      </c>
      <c r="S205">
        <f t="shared" si="12"/>
        <v>557.6865165165168</v>
      </c>
      <c r="T205">
        <f t="shared" si="13"/>
        <v>153</v>
      </c>
      <c r="U205">
        <f t="shared" si="14"/>
        <v>1.9139139139139139</v>
      </c>
      <c r="V205">
        <f t="shared" si="15"/>
        <v>557.6865165165168</v>
      </c>
    </row>
    <row r="206" spans="1:22" x14ac:dyDescent="0.25">
      <c r="A206">
        <v>3661</v>
      </c>
      <c r="B206" s="1">
        <v>44620</v>
      </c>
      <c r="C206" t="s">
        <v>54</v>
      </c>
      <c r="D206" t="s">
        <v>18</v>
      </c>
      <c r="E206" t="s">
        <v>19</v>
      </c>
      <c r="F206" t="s">
        <v>20</v>
      </c>
      <c r="G206" t="s">
        <v>21</v>
      </c>
      <c r="H206" t="s">
        <v>50</v>
      </c>
      <c r="I206" t="s">
        <v>23</v>
      </c>
      <c r="J206" t="s">
        <v>30</v>
      </c>
      <c r="K206" t="s">
        <v>25</v>
      </c>
      <c r="L206">
        <v>3</v>
      </c>
      <c r="M206">
        <v>2</v>
      </c>
      <c r="N206">
        <v>5</v>
      </c>
      <c r="O206">
        <v>2</v>
      </c>
      <c r="P206">
        <v>471.5</v>
      </c>
      <c r="Q206">
        <v>70</v>
      </c>
      <c r="S206">
        <f t="shared" si="12"/>
        <v>557.6865165165168</v>
      </c>
      <c r="T206">
        <f t="shared" si="13"/>
        <v>153</v>
      </c>
      <c r="U206">
        <f t="shared" si="14"/>
        <v>1.9139139139139139</v>
      </c>
      <c r="V206">
        <f t="shared" si="15"/>
        <v>557.6865165165168</v>
      </c>
    </row>
    <row r="207" spans="1:22" x14ac:dyDescent="0.25">
      <c r="A207">
        <v>3662</v>
      </c>
      <c r="B207" s="1">
        <v>45090</v>
      </c>
      <c r="C207" t="s">
        <v>49</v>
      </c>
      <c r="D207" t="s">
        <v>18</v>
      </c>
      <c r="E207" t="s">
        <v>32</v>
      </c>
      <c r="F207" t="s">
        <v>33</v>
      </c>
      <c r="G207" t="s">
        <v>21</v>
      </c>
      <c r="H207" t="s">
        <v>67</v>
      </c>
      <c r="I207" t="s">
        <v>23</v>
      </c>
      <c r="J207" t="s">
        <v>30</v>
      </c>
      <c r="K207" t="s">
        <v>46</v>
      </c>
      <c r="L207">
        <v>3</v>
      </c>
      <c r="M207">
        <v>5</v>
      </c>
      <c r="N207">
        <v>3</v>
      </c>
      <c r="O207">
        <v>1</v>
      </c>
      <c r="P207">
        <v>535.92999999999995</v>
      </c>
      <c r="Q207">
        <v>50</v>
      </c>
      <c r="S207">
        <f t="shared" si="12"/>
        <v>557.6865165165168</v>
      </c>
      <c r="T207">
        <f t="shared" si="13"/>
        <v>153</v>
      </c>
      <c r="U207">
        <f t="shared" si="14"/>
        <v>1.9139139139139139</v>
      </c>
      <c r="V207">
        <f t="shared" si="15"/>
        <v>557.6865165165168</v>
      </c>
    </row>
    <row r="208" spans="1:22" x14ac:dyDescent="0.25">
      <c r="A208">
        <v>3665</v>
      </c>
      <c r="B208" s="1">
        <v>43791</v>
      </c>
      <c r="C208" t="s">
        <v>52</v>
      </c>
      <c r="D208" t="s">
        <v>18</v>
      </c>
      <c r="E208" t="s">
        <v>32</v>
      </c>
      <c r="F208" t="s">
        <v>33</v>
      </c>
      <c r="G208" t="s">
        <v>21</v>
      </c>
      <c r="H208" t="s">
        <v>41</v>
      </c>
      <c r="I208" t="s">
        <v>23</v>
      </c>
      <c r="J208" t="s">
        <v>30</v>
      </c>
      <c r="K208" t="s">
        <v>25</v>
      </c>
      <c r="L208">
        <v>5</v>
      </c>
      <c r="M208">
        <v>2</v>
      </c>
      <c r="N208">
        <v>1</v>
      </c>
      <c r="O208">
        <v>3</v>
      </c>
      <c r="P208">
        <v>752.33</v>
      </c>
      <c r="Q208">
        <v>34</v>
      </c>
      <c r="S208">
        <f t="shared" si="12"/>
        <v>557.6865165165168</v>
      </c>
      <c r="T208">
        <f t="shared" si="13"/>
        <v>153</v>
      </c>
      <c r="U208">
        <f t="shared" si="14"/>
        <v>1.9139139139139139</v>
      </c>
      <c r="V208">
        <f t="shared" si="15"/>
        <v>557.6865165165168</v>
      </c>
    </row>
    <row r="209" spans="1:22" x14ac:dyDescent="0.25">
      <c r="A209">
        <v>3666</v>
      </c>
      <c r="B209" s="1">
        <v>44680</v>
      </c>
      <c r="C209" t="s">
        <v>37</v>
      </c>
      <c r="D209" t="s">
        <v>18</v>
      </c>
      <c r="E209" t="s">
        <v>32</v>
      </c>
      <c r="F209" t="s">
        <v>27</v>
      </c>
      <c r="G209" t="s">
        <v>21</v>
      </c>
      <c r="H209" t="s">
        <v>41</v>
      </c>
      <c r="I209" t="s">
        <v>23</v>
      </c>
      <c r="J209" t="s">
        <v>30</v>
      </c>
      <c r="K209" t="s">
        <v>25</v>
      </c>
      <c r="L209">
        <v>5</v>
      </c>
      <c r="M209">
        <v>2</v>
      </c>
      <c r="N209">
        <v>1</v>
      </c>
      <c r="O209">
        <v>3</v>
      </c>
      <c r="P209">
        <v>343.52</v>
      </c>
      <c r="Q209">
        <v>66</v>
      </c>
      <c r="S209">
        <f t="shared" si="12"/>
        <v>557.6865165165168</v>
      </c>
      <c r="T209">
        <f t="shared" si="13"/>
        <v>153</v>
      </c>
      <c r="U209">
        <f t="shared" si="14"/>
        <v>1.9139139139139139</v>
      </c>
      <c r="V209">
        <f t="shared" si="15"/>
        <v>557.6865165165168</v>
      </c>
    </row>
    <row r="210" spans="1:22" x14ac:dyDescent="0.25">
      <c r="A210">
        <v>3667</v>
      </c>
      <c r="B210" s="1">
        <v>44906</v>
      </c>
      <c r="C210" t="s">
        <v>43</v>
      </c>
      <c r="D210" t="s">
        <v>18</v>
      </c>
      <c r="E210" t="s">
        <v>28</v>
      </c>
      <c r="F210" t="s">
        <v>33</v>
      </c>
      <c r="G210" t="s">
        <v>21</v>
      </c>
      <c r="H210" t="s">
        <v>73</v>
      </c>
      <c r="I210" t="s">
        <v>23</v>
      </c>
      <c r="J210" t="s">
        <v>30</v>
      </c>
      <c r="K210" t="s">
        <v>25</v>
      </c>
      <c r="L210">
        <v>1</v>
      </c>
      <c r="M210">
        <v>1</v>
      </c>
      <c r="N210">
        <v>2</v>
      </c>
      <c r="O210">
        <v>3</v>
      </c>
      <c r="P210">
        <v>860.31</v>
      </c>
      <c r="Q210">
        <v>24</v>
      </c>
      <c r="S210">
        <f t="shared" si="12"/>
        <v>557.6865165165168</v>
      </c>
      <c r="T210">
        <f t="shared" si="13"/>
        <v>153</v>
      </c>
      <c r="U210">
        <f t="shared" si="14"/>
        <v>1.9139139139139139</v>
      </c>
      <c r="V210">
        <f t="shared" si="15"/>
        <v>557.6865165165168</v>
      </c>
    </row>
    <row r="211" spans="1:22" x14ac:dyDescent="0.25">
      <c r="A211">
        <v>3668</v>
      </c>
      <c r="B211" s="1">
        <v>45144</v>
      </c>
      <c r="C211" t="s">
        <v>40</v>
      </c>
      <c r="D211" t="s">
        <v>18</v>
      </c>
      <c r="E211" t="s">
        <v>32</v>
      </c>
      <c r="F211" t="s">
        <v>20</v>
      </c>
      <c r="G211" t="s">
        <v>21</v>
      </c>
      <c r="H211" t="s">
        <v>75</v>
      </c>
      <c r="I211" t="s">
        <v>23</v>
      </c>
      <c r="J211" t="s">
        <v>30</v>
      </c>
      <c r="K211" t="s">
        <v>64</v>
      </c>
      <c r="L211">
        <v>1</v>
      </c>
      <c r="M211">
        <v>5</v>
      </c>
      <c r="N211">
        <v>1</v>
      </c>
      <c r="O211">
        <v>4</v>
      </c>
      <c r="P211">
        <v>265.55</v>
      </c>
      <c r="Q211">
        <v>27</v>
      </c>
      <c r="S211">
        <f t="shared" si="12"/>
        <v>557.6865165165168</v>
      </c>
      <c r="T211">
        <f t="shared" si="13"/>
        <v>153</v>
      </c>
      <c r="U211">
        <f t="shared" si="14"/>
        <v>1.9139139139139139</v>
      </c>
      <c r="V211">
        <f t="shared" si="15"/>
        <v>557.6865165165168</v>
      </c>
    </row>
    <row r="212" spans="1:22" x14ac:dyDescent="0.25">
      <c r="A212">
        <v>3669</v>
      </c>
      <c r="B212" s="1">
        <v>43918</v>
      </c>
      <c r="C212" t="s">
        <v>17</v>
      </c>
      <c r="D212" t="s">
        <v>84</v>
      </c>
      <c r="E212" t="s">
        <v>19</v>
      </c>
      <c r="F212" t="s">
        <v>27</v>
      </c>
      <c r="G212" t="s">
        <v>21</v>
      </c>
      <c r="H212" t="s">
        <v>22</v>
      </c>
      <c r="I212" t="s">
        <v>23</v>
      </c>
      <c r="J212" t="s">
        <v>30</v>
      </c>
      <c r="K212" t="s">
        <v>25</v>
      </c>
      <c r="L212">
        <v>4</v>
      </c>
      <c r="M212">
        <v>2</v>
      </c>
      <c r="N212">
        <v>4</v>
      </c>
      <c r="O212">
        <v>1</v>
      </c>
      <c r="P212">
        <v>183.85</v>
      </c>
      <c r="Q212">
        <v>53</v>
      </c>
      <c r="S212">
        <f t="shared" si="12"/>
        <v>557.6865165165168</v>
      </c>
      <c r="T212">
        <f t="shared" si="13"/>
        <v>153</v>
      </c>
      <c r="U212">
        <f t="shared" si="14"/>
        <v>1.9139139139139139</v>
      </c>
      <c r="V212">
        <f t="shared" si="15"/>
        <v>557.6865165165168</v>
      </c>
    </row>
    <row r="213" spans="1:22" x14ac:dyDescent="0.25">
      <c r="A213">
        <v>3670</v>
      </c>
      <c r="B213" s="1">
        <v>44784</v>
      </c>
      <c r="C213" t="s">
        <v>52</v>
      </c>
      <c r="D213" t="s">
        <v>18</v>
      </c>
      <c r="E213" t="s">
        <v>32</v>
      </c>
      <c r="F213" t="s">
        <v>27</v>
      </c>
      <c r="G213" t="s">
        <v>21</v>
      </c>
      <c r="H213" t="s">
        <v>73</v>
      </c>
      <c r="I213" t="s">
        <v>23</v>
      </c>
      <c r="J213" t="s">
        <v>24</v>
      </c>
      <c r="K213" t="s">
        <v>64</v>
      </c>
      <c r="L213">
        <v>2</v>
      </c>
      <c r="M213">
        <v>2</v>
      </c>
      <c r="N213">
        <v>3</v>
      </c>
      <c r="O213">
        <v>5</v>
      </c>
      <c r="P213">
        <v>942.09</v>
      </c>
      <c r="Q213">
        <v>53</v>
      </c>
      <c r="S213">
        <f t="shared" si="12"/>
        <v>557.6865165165168</v>
      </c>
      <c r="T213">
        <f t="shared" si="13"/>
        <v>153</v>
      </c>
      <c r="U213">
        <f t="shared" si="14"/>
        <v>1.9139139139139139</v>
      </c>
      <c r="V213">
        <f t="shared" si="15"/>
        <v>557.6865165165168</v>
      </c>
    </row>
    <row r="214" spans="1:22" x14ac:dyDescent="0.25">
      <c r="A214">
        <v>3671</v>
      </c>
      <c r="B214" s="1">
        <v>44952</v>
      </c>
      <c r="C214" t="s">
        <v>26</v>
      </c>
      <c r="D214" t="s">
        <v>84</v>
      </c>
      <c r="E214" t="s">
        <v>28</v>
      </c>
      <c r="F214" t="s">
        <v>27</v>
      </c>
      <c r="G214" t="s">
        <v>21</v>
      </c>
      <c r="H214" t="s">
        <v>56</v>
      </c>
      <c r="I214" t="s">
        <v>23</v>
      </c>
      <c r="J214" t="s">
        <v>24</v>
      </c>
      <c r="K214" t="s">
        <v>64</v>
      </c>
      <c r="L214">
        <v>3</v>
      </c>
      <c r="M214">
        <v>4</v>
      </c>
      <c r="N214">
        <v>5</v>
      </c>
      <c r="O214">
        <v>4</v>
      </c>
      <c r="P214">
        <v>381.94</v>
      </c>
      <c r="Q214">
        <v>34</v>
      </c>
      <c r="S214">
        <f t="shared" si="12"/>
        <v>557.6865165165168</v>
      </c>
      <c r="T214">
        <f t="shared" si="13"/>
        <v>153</v>
      </c>
      <c r="U214">
        <f t="shared" si="14"/>
        <v>1.9139139139139139</v>
      </c>
      <c r="V214">
        <f t="shared" si="15"/>
        <v>557.6865165165168</v>
      </c>
    </row>
    <row r="215" spans="1:22" x14ac:dyDescent="0.25">
      <c r="A215">
        <v>3672</v>
      </c>
      <c r="B215" s="1">
        <v>43479</v>
      </c>
      <c r="C215" t="s">
        <v>54</v>
      </c>
      <c r="D215" t="s">
        <v>18</v>
      </c>
      <c r="E215" t="s">
        <v>28</v>
      </c>
      <c r="F215" t="s">
        <v>27</v>
      </c>
      <c r="G215" t="s">
        <v>21</v>
      </c>
      <c r="H215" t="s">
        <v>38</v>
      </c>
      <c r="I215" t="s">
        <v>23</v>
      </c>
      <c r="J215" t="s">
        <v>24</v>
      </c>
      <c r="K215" t="s">
        <v>25</v>
      </c>
      <c r="L215">
        <v>3</v>
      </c>
      <c r="M215">
        <v>2</v>
      </c>
      <c r="N215">
        <v>4</v>
      </c>
      <c r="O215">
        <v>1</v>
      </c>
      <c r="P215">
        <v>358.73</v>
      </c>
      <c r="Q215">
        <v>28</v>
      </c>
      <c r="S215">
        <f t="shared" si="12"/>
        <v>557.6865165165168</v>
      </c>
      <c r="T215">
        <f t="shared" si="13"/>
        <v>153</v>
      </c>
      <c r="U215">
        <f t="shared" si="14"/>
        <v>1.9139139139139139</v>
      </c>
      <c r="V215">
        <f t="shared" si="15"/>
        <v>557.6865165165168</v>
      </c>
    </row>
    <row r="216" spans="1:22" x14ac:dyDescent="0.25">
      <c r="A216">
        <v>3673</v>
      </c>
      <c r="B216" s="1">
        <v>44723</v>
      </c>
      <c r="C216" t="s">
        <v>37</v>
      </c>
      <c r="D216" t="s">
        <v>84</v>
      </c>
      <c r="E216" t="s">
        <v>32</v>
      </c>
      <c r="F216" t="s">
        <v>33</v>
      </c>
      <c r="G216" t="s">
        <v>21</v>
      </c>
      <c r="H216" t="s">
        <v>70</v>
      </c>
      <c r="I216" t="s">
        <v>23</v>
      </c>
      <c r="J216" t="s">
        <v>24</v>
      </c>
      <c r="K216" t="s">
        <v>25</v>
      </c>
      <c r="L216">
        <v>3</v>
      </c>
      <c r="M216">
        <v>3</v>
      </c>
      <c r="N216">
        <v>1</v>
      </c>
      <c r="O216">
        <v>3</v>
      </c>
      <c r="P216">
        <v>578.02</v>
      </c>
      <c r="Q216">
        <v>49</v>
      </c>
      <c r="S216">
        <f t="shared" si="12"/>
        <v>557.6865165165168</v>
      </c>
      <c r="T216">
        <f t="shared" si="13"/>
        <v>153</v>
      </c>
      <c r="U216">
        <f t="shared" si="14"/>
        <v>1.9139139139139139</v>
      </c>
      <c r="V216">
        <f t="shared" si="15"/>
        <v>557.6865165165168</v>
      </c>
    </row>
    <row r="217" spans="1:22" x14ac:dyDescent="0.25">
      <c r="A217">
        <v>3674</v>
      </c>
      <c r="B217" s="1">
        <v>44007</v>
      </c>
      <c r="C217" t="s">
        <v>40</v>
      </c>
      <c r="D217" t="s">
        <v>84</v>
      </c>
      <c r="E217" t="s">
        <v>28</v>
      </c>
      <c r="F217" t="s">
        <v>20</v>
      </c>
      <c r="G217" t="s">
        <v>21</v>
      </c>
      <c r="H217" t="s">
        <v>47</v>
      </c>
      <c r="I217" t="s">
        <v>23</v>
      </c>
      <c r="J217" t="s">
        <v>24</v>
      </c>
      <c r="K217" t="s">
        <v>25</v>
      </c>
      <c r="L217">
        <v>4</v>
      </c>
      <c r="M217">
        <v>4</v>
      </c>
      <c r="N217">
        <v>3</v>
      </c>
      <c r="O217">
        <v>2</v>
      </c>
      <c r="P217">
        <v>223.29</v>
      </c>
      <c r="Q217">
        <v>24</v>
      </c>
      <c r="S217">
        <f t="shared" si="12"/>
        <v>557.6865165165168</v>
      </c>
      <c r="T217">
        <f t="shared" si="13"/>
        <v>153</v>
      </c>
      <c r="U217">
        <f t="shared" si="14"/>
        <v>1.9139139139139139</v>
      </c>
      <c r="V217">
        <f t="shared" si="15"/>
        <v>557.6865165165168</v>
      </c>
    </row>
    <row r="218" spans="1:22" x14ac:dyDescent="0.25">
      <c r="A218">
        <v>3675</v>
      </c>
      <c r="B218" s="1">
        <v>43990</v>
      </c>
      <c r="C218" t="s">
        <v>17</v>
      </c>
      <c r="D218" t="s">
        <v>18</v>
      </c>
      <c r="E218" t="s">
        <v>32</v>
      </c>
      <c r="F218" t="s">
        <v>20</v>
      </c>
      <c r="G218" t="s">
        <v>21</v>
      </c>
      <c r="H218" t="s">
        <v>47</v>
      </c>
      <c r="I218" t="s">
        <v>23</v>
      </c>
      <c r="J218" t="s">
        <v>24</v>
      </c>
      <c r="K218" t="s">
        <v>25</v>
      </c>
      <c r="L218">
        <v>5</v>
      </c>
      <c r="M218">
        <v>3</v>
      </c>
      <c r="N218">
        <v>2</v>
      </c>
      <c r="O218">
        <v>5</v>
      </c>
      <c r="P218">
        <v>992.37</v>
      </c>
      <c r="Q218">
        <v>68</v>
      </c>
      <c r="S218">
        <f t="shared" si="12"/>
        <v>557.6865165165168</v>
      </c>
      <c r="T218">
        <f t="shared" si="13"/>
        <v>153</v>
      </c>
      <c r="U218">
        <f t="shared" si="14"/>
        <v>1.9139139139139139</v>
      </c>
      <c r="V218">
        <f t="shared" si="15"/>
        <v>557.6865165165168</v>
      </c>
    </row>
    <row r="219" spans="1:22" x14ac:dyDescent="0.25">
      <c r="A219">
        <v>3676</v>
      </c>
      <c r="B219" s="1">
        <v>43341</v>
      </c>
      <c r="C219" t="s">
        <v>40</v>
      </c>
      <c r="D219" t="s">
        <v>18</v>
      </c>
      <c r="E219" t="s">
        <v>19</v>
      </c>
      <c r="F219" t="s">
        <v>33</v>
      </c>
      <c r="G219" t="s">
        <v>21</v>
      </c>
      <c r="H219" t="s">
        <v>71</v>
      </c>
      <c r="I219" t="s">
        <v>23</v>
      </c>
      <c r="J219" t="s">
        <v>30</v>
      </c>
      <c r="K219" t="s">
        <v>25</v>
      </c>
      <c r="L219">
        <v>3</v>
      </c>
      <c r="M219">
        <v>4</v>
      </c>
      <c r="N219">
        <v>1</v>
      </c>
      <c r="O219">
        <v>5</v>
      </c>
      <c r="P219">
        <v>113.48</v>
      </c>
      <c r="Q219">
        <v>25</v>
      </c>
      <c r="S219">
        <f t="shared" si="12"/>
        <v>557.6865165165168</v>
      </c>
      <c r="T219">
        <f t="shared" si="13"/>
        <v>153</v>
      </c>
      <c r="U219">
        <f t="shared" si="14"/>
        <v>1.9139139139139139</v>
      </c>
      <c r="V219">
        <f t="shared" si="15"/>
        <v>557.6865165165168</v>
      </c>
    </row>
    <row r="220" spans="1:22" x14ac:dyDescent="0.25">
      <c r="A220">
        <v>3677</v>
      </c>
      <c r="B220" s="1">
        <v>44835</v>
      </c>
      <c r="C220" t="s">
        <v>17</v>
      </c>
      <c r="D220" t="s">
        <v>18</v>
      </c>
      <c r="E220" t="s">
        <v>32</v>
      </c>
      <c r="F220" t="s">
        <v>27</v>
      </c>
      <c r="G220" t="s">
        <v>21</v>
      </c>
      <c r="H220" t="s">
        <v>41</v>
      </c>
      <c r="I220" t="s">
        <v>23</v>
      </c>
      <c r="J220" t="s">
        <v>30</v>
      </c>
      <c r="K220" t="s">
        <v>25</v>
      </c>
      <c r="L220">
        <v>3</v>
      </c>
      <c r="M220">
        <v>5</v>
      </c>
      <c r="N220">
        <v>5</v>
      </c>
      <c r="O220">
        <v>4</v>
      </c>
      <c r="P220">
        <v>882.2</v>
      </c>
      <c r="Q220">
        <v>62</v>
      </c>
      <c r="S220">
        <f t="shared" si="12"/>
        <v>557.6865165165168</v>
      </c>
      <c r="T220">
        <f t="shared" si="13"/>
        <v>153</v>
      </c>
      <c r="U220">
        <f t="shared" si="14"/>
        <v>1.9139139139139139</v>
      </c>
      <c r="V220">
        <f t="shared" si="15"/>
        <v>557.6865165165168</v>
      </c>
    </row>
    <row r="221" spans="1:22" x14ac:dyDescent="0.25">
      <c r="A221">
        <v>3678</v>
      </c>
      <c r="B221" s="1">
        <v>44399</v>
      </c>
      <c r="C221" t="s">
        <v>52</v>
      </c>
      <c r="D221" t="s">
        <v>18</v>
      </c>
      <c r="E221" t="s">
        <v>32</v>
      </c>
      <c r="F221" t="s">
        <v>27</v>
      </c>
      <c r="G221" t="s">
        <v>21</v>
      </c>
      <c r="H221" t="s">
        <v>44</v>
      </c>
      <c r="I221" t="s">
        <v>23</v>
      </c>
      <c r="J221" t="s">
        <v>30</v>
      </c>
      <c r="K221" t="s">
        <v>25</v>
      </c>
      <c r="L221">
        <v>3</v>
      </c>
      <c r="M221">
        <v>4</v>
      </c>
      <c r="N221">
        <v>4</v>
      </c>
      <c r="O221">
        <v>2</v>
      </c>
      <c r="P221">
        <v>288.16000000000003</v>
      </c>
      <c r="Q221">
        <v>22</v>
      </c>
      <c r="S221">
        <f t="shared" si="12"/>
        <v>557.6865165165168</v>
      </c>
      <c r="T221">
        <f t="shared" si="13"/>
        <v>153</v>
      </c>
      <c r="U221">
        <f t="shared" si="14"/>
        <v>1.9139139139139139</v>
      </c>
      <c r="V221">
        <f t="shared" si="15"/>
        <v>557.6865165165168</v>
      </c>
    </row>
    <row r="222" spans="1:22" x14ac:dyDescent="0.25">
      <c r="A222">
        <v>3679</v>
      </c>
      <c r="B222" s="1">
        <v>43813</v>
      </c>
      <c r="C222" t="s">
        <v>26</v>
      </c>
      <c r="D222" t="s">
        <v>18</v>
      </c>
      <c r="E222" t="s">
        <v>32</v>
      </c>
      <c r="F222" t="s">
        <v>27</v>
      </c>
      <c r="G222" t="s">
        <v>21</v>
      </c>
      <c r="H222" t="s">
        <v>47</v>
      </c>
      <c r="I222" t="s">
        <v>23</v>
      </c>
      <c r="J222" t="s">
        <v>30</v>
      </c>
      <c r="K222" t="s">
        <v>25</v>
      </c>
      <c r="L222">
        <v>4</v>
      </c>
      <c r="M222">
        <v>2</v>
      </c>
      <c r="N222">
        <v>5</v>
      </c>
      <c r="O222">
        <v>1</v>
      </c>
      <c r="P222">
        <v>815.52</v>
      </c>
      <c r="Q222">
        <v>30</v>
      </c>
      <c r="S222">
        <f t="shared" si="12"/>
        <v>557.6865165165168</v>
      </c>
      <c r="T222">
        <f t="shared" si="13"/>
        <v>153</v>
      </c>
      <c r="U222">
        <f t="shared" si="14"/>
        <v>1.9139139139139139</v>
      </c>
      <c r="V222">
        <f t="shared" si="15"/>
        <v>557.6865165165168</v>
      </c>
    </row>
    <row r="223" spans="1:22" x14ac:dyDescent="0.25">
      <c r="A223">
        <v>3680</v>
      </c>
      <c r="B223" s="1">
        <v>43917</v>
      </c>
      <c r="C223" t="s">
        <v>54</v>
      </c>
      <c r="D223" t="s">
        <v>18</v>
      </c>
      <c r="E223" t="s">
        <v>28</v>
      </c>
      <c r="F223" t="s">
        <v>33</v>
      </c>
      <c r="G223" t="s">
        <v>21</v>
      </c>
      <c r="H223" t="s">
        <v>75</v>
      </c>
      <c r="I223" t="s">
        <v>23</v>
      </c>
      <c r="J223" t="s">
        <v>24</v>
      </c>
      <c r="K223" t="s">
        <v>25</v>
      </c>
      <c r="L223">
        <v>3</v>
      </c>
      <c r="M223">
        <v>2</v>
      </c>
      <c r="N223">
        <v>3</v>
      </c>
      <c r="O223">
        <v>4</v>
      </c>
      <c r="P223">
        <v>461.06</v>
      </c>
      <c r="Q223">
        <v>35</v>
      </c>
      <c r="S223">
        <f t="shared" si="12"/>
        <v>557.6865165165168</v>
      </c>
      <c r="T223">
        <f t="shared" si="13"/>
        <v>153</v>
      </c>
      <c r="U223">
        <f t="shared" si="14"/>
        <v>1.9139139139139139</v>
      </c>
      <c r="V223">
        <f t="shared" si="15"/>
        <v>557.6865165165168</v>
      </c>
    </row>
    <row r="224" spans="1:22" x14ac:dyDescent="0.25">
      <c r="A224">
        <v>3681</v>
      </c>
      <c r="B224" s="1">
        <v>44525</v>
      </c>
      <c r="C224" t="s">
        <v>37</v>
      </c>
      <c r="D224" t="s">
        <v>18</v>
      </c>
      <c r="E224" t="s">
        <v>28</v>
      </c>
      <c r="F224" t="s">
        <v>33</v>
      </c>
      <c r="G224" t="s">
        <v>21</v>
      </c>
      <c r="H224" t="s">
        <v>47</v>
      </c>
      <c r="I224" t="s">
        <v>23</v>
      </c>
      <c r="J224" t="s">
        <v>24</v>
      </c>
      <c r="K224" t="s">
        <v>25</v>
      </c>
      <c r="L224">
        <v>5</v>
      </c>
      <c r="M224">
        <v>2</v>
      </c>
      <c r="N224">
        <v>5</v>
      </c>
      <c r="O224">
        <v>2</v>
      </c>
      <c r="P224">
        <v>580.16</v>
      </c>
      <c r="Q224">
        <v>45</v>
      </c>
      <c r="S224">
        <f t="shared" si="12"/>
        <v>557.6865165165168</v>
      </c>
      <c r="T224">
        <f t="shared" si="13"/>
        <v>153</v>
      </c>
      <c r="U224">
        <f t="shared" si="14"/>
        <v>1.9139139139139139</v>
      </c>
      <c r="V224">
        <f t="shared" si="15"/>
        <v>557.6865165165168</v>
      </c>
    </row>
    <row r="225" spans="1:22" x14ac:dyDescent="0.25">
      <c r="A225">
        <v>3682</v>
      </c>
      <c r="B225" s="1">
        <v>45115</v>
      </c>
      <c r="C225" t="s">
        <v>60</v>
      </c>
      <c r="D225" t="s">
        <v>18</v>
      </c>
      <c r="E225" t="s">
        <v>32</v>
      </c>
      <c r="F225" t="s">
        <v>20</v>
      </c>
      <c r="G225" t="s">
        <v>21</v>
      </c>
      <c r="H225" t="s">
        <v>41</v>
      </c>
      <c r="I225" t="s">
        <v>23</v>
      </c>
      <c r="J225" t="s">
        <v>24</v>
      </c>
      <c r="K225" t="s">
        <v>25</v>
      </c>
      <c r="L225">
        <v>3</v>
      </c>
      <c r="M225">
        <v>3</v>
      </c>
      <c r="N225">
        <v>3</v>
      </c>
      <c r="O225">
        <v>3</v>
      </c>
      <c r="P225">
        <v>336.69</v>
      </c>
      <c r="Q225">
        <v>80</v>
      </c>
      <c r="S225">
        <f t="shared" si="12"/>
        <v>557.6865165165168</v>
      </c>
      <c r="T225">
        <f t="shared" si="13"/>
        <v>153</v>
      </c>
      <c r="U225">
        <f t="shared" si="14"/>
        <v>1.9139139139139139</v>
      </c>
      <c r="V225">
        <f t="shared" si="15"/>
        <v>557.6865165165168</v>
      </c>
    </row>
    <row r="226" spans="1:22" x14ac:dyDescent="0.25">
      <c r="A226">
        <v>3683</v>
      </c>
      <c r="B226" s="1">
        <v>44502</v>
      </c>
      <c r="C226" t="s">
        <v>43</v>
      </c>
      <c r="D226" t="s">
        <v>18</v>
      </c>
      <c r="E226" t="s">
        <v>28</v>
      </c>
      <c r="F226" t="s">
        <v>20</v>
      </c>
      <c r="G226" t="s">
        <v>21</v>
      </c>
      <c r="H226" t="s">
        <v>22</v>
      </c>
      <c r="I226" t="s">
        <v>23</v>
      </c>
      <c r="J226" t="s">
        <v>30</v>
      </c>
      <c r="K226" t="s">
        <v>25</v>
      </c>
      <c r="L226">
        <v>2</v>
      </c>
      <c r="M226">
        <v>1</v>
      </c>
      <c r="N226">
        <v>5</v>
      </c>
      <c r="O226">
        <v>1</v>
      </c>
      <c r="P226">
        <v>990.69</v>
      </c>
      <c r="Q226">
        <v>65</v>
      </c>
      <c r="S226">
        <f t="shared" si="12"/>
        <v>557.6865165165168</v>
      </c>
      <c r="T226">
        <f t="shared" si="13"/>
        <v>153</v>
      </c>
      <c r="U226">
        <f t="shared" si="14"/>
        <v>1.9139139139139139</v>
      </c>
      <c r="V226">
        <f t="shared" si="15"/>
        <v>557.6865165165168</v>
      </c>
    </row>
    <row r="227" spans="1:22" x14ac:dyDescent="0.25">
      <c r="A227">
        <v>3684</v>
      </c>
      <c r="B227" s="1">
        <v>43800</v>
      </c>
      <c r="C227" t="s">
        <v>49</v>
      </c>
      <c r="D227" t="s">
        <v>18</v>
      </c>
      <c r="E227" t="s">
        <v>19</v>
      </c>
      <c r="F227" t="s">
        <v>20</v>
      </c>
      <c r="G227" t="s">
        <v>21</v>
      </c>
      <c r="H227" t="s">
        <v>41</v>
      </c>
      <c r="I227" t="s">
        <v>23</v>
      </c>
      <c r="J227" t="s">
        <v>30</v>
      </c>
      <c r="K227" t="s">
        <v>25</v>
      </c>
      <c r="L227">
        <v>5</v>
      </c>
      <c r="M227">
        <v>5</v>
      </c>
      <c r="N227">
        <v>3</v>
      </c>
      <c r="O227">
        <v>2</v>
      </c>
      <c r="P227">
        <v>939.39</v>
      </c>
      <c r="Q227">
        <v>65</v>
      </c>
      <c r="S227">
        <f t="shared" si="12"/>
        <v>557.6865165165168</v>
      </c>
      <c r="T227">
        <f t="shared" si="13"/>
        <v>153</v>
      </c>
      <c r="U227">
        <f t="shared" si="14"/>
        <v>1.9139139139139139</v>
      </c>
      <c r="V227">
        <f t="shared" si="15"/>
        <v>557.6865165165168</v>
      </c>
    </row>
    <row r="228" spans="1:22" x14ac:dyDescent="0.25">
      <c r="A228">
        <v>3685</v>
      </c>
      <c r="B228" s="1">
        <v>44789</v>
      </c>
      <c r="C228" t="s">
        <v>31</v>
      </c>
      <c r="D228" t="s">
        <v>18</v>
      </c>
      <c r="E228" t="s">
        <v>32</v>
      </c>
      <c r="F228" t="s">
        <v>20</v>
      </c>
      <c r="G228" t="s">
        <v>21</v>
      </c>
      <c r="H228" t="s">
        <v>62</v>
      </c>
      <c r="I228" t="s">
        <v>23</v>
      </c>
      <c r="J228" t="s">
        <v>30</v>
      </c>
      <c r="K228" t="s">
        <v>25</v>
      </c>
      <c r="L228">
        <v>4</v>
      </c>
      <c r="M228">
        <v>3</v>
      </c>
      <c r="N228">
        <v>4</v>
      </c>
      <c r="O228">
        <v>1</v>
      </c>
      <c r="P228">
        <v>941.12</v>
      </c>
      <c r="Q228">
        <v>36</v>
      </c>
      <c r="S228">
        <f t="shared" si="12"/>
        <v>557.6865165165168</v>
      </c>
      <c r="T228">
        <f t="shared" si="13"/>
        <v>153</v>
      </c>
      <c r="U228">
        <f t="shared" si="14"/>
        <v>1.9139139139139139</v>
      </c>
      <c r="V228">
        <f t="shared" si="15"/>
        <v>557.6865165165168</v>
      </c>
    </row>
    <row r="229" spans="1:22" x14ac:dyDescent="0.25">
      <c r="A229">
        <v>3687</v>
      </c>
      <c r="B229" s="1">
        <v>43602</v>
      </c>
      <c r="C229" t="s">
        <v>17</v>
      </c>
      <c r="D229" t="s">
        <v>18</v>
      </c>
      <c r="E229" t="s">
        <v>28</v>
      </c>
      <c r="F229" t="s">
        <v>33</v>
      </c>
      <c r="G229" t="s">
        <v>21</v>
      </c>
      <c r="H229" t="s">
        <v>41</v>
      </c>
      <c r="I229" t="s">
        <v>23</v>
      </c>
      <c r="J229" t="s">
        <v>24</v>
      </c>
      <c r="K229" t="s">
        <v>46</v>
      </c>
      <c r="L229">
        <v>2</v>
      </c>
      <c r="M229">
        <v>4</v>
      </c>
      <c r="N229">
        <v>5</v>
      </c>
      <c r="O229">
        <v>3</v>
      </c>
      <c r="P229">
        <v>614.53</v>
      </c>
      <c r="Q229">
        <v>75</v>
      </c>
      <c r="S229">
        <f t="shared" si="12"/>
        <v>557.6865165165168</v>
      </c>
      <c r="T229">
        <f t="shared" si="13"/>
        <v>153</v>
      </c>
      <c r="U229">
        <f t="shared" si="14"/>
        <v>1.9139139139139139</v>
      </c>
      <c r="V229">
        <f t="shared" si="15"/>
        <v>557.6865165165168</v>
      </c>
    </row>
    <row r="230" spans="1:22" x14ac:dyDescent="0.25">
      <c r="A230">
        <v>3689</v>
      </c>
      <c r="B230" s="1">
        <v>44393</v>
      </c>
      <c r="C230" t="s">
        <v>26</v>
      </c>
      <c r="D230" t="s">
        <v>18</v>
      </c>
      <c r="E230" t="s">
        <v>19</v>
      </c>
      <c r="F230" t="s">
        <v>27</v>
      </c>
      <c r="G230" t="s">
        <v>21</v>
      </c>
      <c r="H230" t="s">
        <v>41</v>
      </c>
      <c r="I230" t="s">
        <v>23</v>
      </c>
      <c r="J230" t="s">
        <v>30</v>
      </c>
      <c r="K230" t="s">
        <v>46</v>
      </c>
      <c r="L230">
        <v>4</v>
      </c>
      <c r="M230">
        <v>4</v>
      </c>
      <c r="N230">
        <v>3</v>
      </c>
      <c r="O230">
        <v>1</v>
      </c>
      <c r="P230">
        <v>734.94</v>
      </c>
      <c r="Q230">
        <v>61</v>
      </c>
      <c r="S230">
        <f t="shared" si="12"/>
        <v>557.6865165165168</v>
      </c>
      <c r="T230">
        <f t="shared" si="13"/>
        <v>153</v>
      </c>
      <c r="U230">
        <f t="shared" si="14"/>
        <v>1.9139139139139139</v>
      </c>
      <c r="V230">
        <f t="shared" si="15"/>
        <v>557.6865165165168</v>
      </c>
    </row>
    <row r="231" spans="1:22" x14ac:dyDescent="0.25">
      <c r="A231">
        <v>3690</v>
      </c>
      <c r="B231" s="1">
        <v>44047</v>
      </c>
      <c r="C231" t="s">
        <v>54</v>
      </c>
      <c r="D231" t="s">
        <v>18</v>
      </c>
      <c r="E231" t="s">
        <v>28</v>
      </c>
      <c r="F231" t="s">
        <v>27</v>
      </c>
      <c r="G231" t="s">
        <v>21</v>
      </c>
      <c r="H231" t="s">
        <v>71</v>
      </c>
      <c r="I231" t="s">
        <v>23</v>
      </c>
      <c r="J231" t="s">
        <v>30</v>
      </c>
      <c r="K231" t="s">
        <v>64</v>
      </c>
      <c r="L231">
        <v>4</v>
      </c>
      <c r="M231">
        <v>3</v>
      </c>
      <c r="N231">
        <v>5</v>
      </c>
      <c r="O231">
        <v>5</v>
      </c>
      <c r="P231">
        <v>589.5</v>
      </c>
      <c r="Q231">
        <v>70</v>
      </c>
      <c r="S231">
        <f t="shared" si="12"/>
        <v>557.6865165165168</v>
      </c>
      <c r="T231">
        <f t="shared" si="13"/>
        <v>153</v>
      </c>
      <c r="U231">
        <f t="shared" si="14"/>
        <v>1.9139139139139139</v>
      </c>
      <c r="V231">
        <f t="shared" si="15"/>
        <v>557.6865165165168</v>
      </c>
    </row>
    <row r="232" spans="1:22" x14ac:dyDescent="0.25">
      <c r="A232">
        <v>3691</v>
      </c>
      <c r="B232" s="1">
        <v>44158</v>
      </c>
      <c r="C232" t="s">
        <v>37</v>
      </c>
      <c r="D232" t="s">
        <v>18</v>
      </c>
      <c r="E232" t="s">
        <v>28</v>
      </c>
      <c r="F232" t="s">
        <v>20</v>
      </c>
      <c r="G232" t="s">
        <v>21</v>
      </c>
      <c r="H232" t="s">
        <v>22</v>
      </c>
      <c r="I232" t="s">
        <v>23</v>
      </c>
      <c r="J232" t="s">
        <v>30</v>
      </c>
      <c r="K232" t="s">
        <v>64</v>
      </c>
      <c r="L232">
        <v>1</v>
      </c>
      <c r="M232">
        <v>1</v>
      </c>
      <c r="N232">
        <v>5</v>
      </c>
      <c r="O232">
        <v>3</v>
      </c>
      <c r="P232">
        <v>311.27999999999997</v>
      </c>
      <c r="Q232">
        <v>27</v>
      </c>
      <c r="S232">
        <f t="shared" si="12"/>
        <v>557.6865165165168</v>
      </c>
      <c r="T232">
        <f t="shared" si="13"/>
        <v>153</v>
      </c>
      <c r="U232">
        <f t="shared" si="14"/>
        <v>1.9139139139139139</v>
      </c>
      <c r="V232">
        <f t="shared" si="15"/>
        <v>557.6865165165168</v>
      </c>
    </row>
    <row r="233" spans="1:22" x14ac:dyDescent="0.25">
      <c r="A233">
        <v>3692</v>
      </c>
      <c r="B233" s="1">
        <v>43780</v>
      </c>
      <c r="C233" t="s">
        <v>60</v>
      </c>
      <c r="D233" t="s">
        <v>18</v>
      </c>
      <c r="E233" t="s">
        <v>32</v>
      </c>
      <c r="F233" t="s">
        <v>33</v>
      </c>
      <c r="G233" t="s">
        <v>21</v>
      </c>
      <c r="H233" t="s">
        <v>29</v>
      </c>
      <c r="I233" t="s">
        <v>23</v>
      </c>
      <c r="J233" t="s">
        <v>30</v>
      </c>
      <c r="K233" t="s">
        <v>64</v>
      </c>
      <c r="L233">
        <v>4</v>
      </c>
      <c r="M233">
        <v>5</v>
      </c>
      <c r="N233">
        <v>3</v>
      </c>
      <c r="O233">
        <v>5</v>
      </c>
      <c r="P233">
        <v>671.88</v>
      </c>
      <c r="Q233">
        <v>40</v>
      </c>
      <c r="S233">
        <f t="shared" si="12"/>
        <v>557.6865165165168</v>
      </c>
      <c r="T233">
        <f t="shared" si="13"/>
        <v>153</v>
      </c>
      <c r="U233">
        <f t="shared" si="14"/>
        <v>1.9139139139139139</v>
      </c>
      <c r="V233">
        <f t="shared" si="15"/>
        <v>557.6865165165168</v>
      </c>
    </row>
    <row r="234" spans="1:22" x14ac:dyDescent="0.25">
      <c r="A234">
        <v>3693</v>
      </c>
      <c r="B234" s="1">
        <v>43605</v>
      </c>
      <c r="C234" t="s">
        <v>52</v>
      </c>
      <c r="D234" t="s">
        <v>18</v>
      </c>
      <c r="E234" t="s">
        <v>28</v>
      </c>
      <c r="F234" t="s">
        <v>33</v>
      </c>
      <c r="G234" t="s">
        <v>21</v>
      </c>
      <c r="H234" t="s">
        <v>62</v>
      </c>
      <c r="I234" t="s">
        <v>23</v>
      </c>
      <c r="J234" t="s">
        <v>24</v>
      </c>
      <c r="K234" t="s">
        <v>46</v>
      </c>
      <c r="L234">
        <v>3</v>
      </c>
      <c r="M234">
        <v>1</v>
      </c>
      <c r="N234">
        <v>1</v>
      </c>
      <c r="O234">
        <v>1</v>
      </c>
      <c r="P234">
        <v>861.5</v>
      </c>
      <c r="Q234">
        <v>42</v>
      </c>
      <c r="S234">
        <f t="shared" si="12"/>
        <v>557.6865165165168</v>
      </c>
      <c r="T234">
        <f t="shared" si="13"/>
        <v>153</v>
      </c>
      <c r="U234">
        <f t="shared" si="14"/>
        <v>1.9139139139139139</v>
      </c>
      <c r="V234">
        <f t="shared" si="15"/>
        <v>557.6865165165168</v>
      </c>
    </row>
    <row r="235" spans="1:22" x14ac:dyDescent="0.25">
      <c r="A235">
        <v>3694</v>
      </c>
      <c r="B235" s="1">
        <v>43774</v>
      </c>
      <c r="C235" t="s">
        <v>26</v>
      </c>
      <c r="D235" t="s">
        <v>84</v>
      </c>
      <c r="E235" t="s">
        <v>32</v>
      </c>
      <c r="F235" t="s">
        <v>27</v>
      </c>
      <c r="G235" t="s">
        <v>21</v>
      </c>
      <c r="H235" t="s">
        <v>41</v>
      </c>
      <c r="I235" t="s">
        <v>23</v>
      </c>
      <c r="J235" t="s">
        <v>24</v>
      </c>
      <c r="K235" t="s">
        <v>72</v>
      </c>
      <c r="L235">
        <v>3</v>
      </c>
      <c r="M235">
        <v>3</v>
      </c>
      <c r="N235">
        <v>5</v>
      </c>
      <c r="O235">
        <v>2</v>
      </c>
      <c r="P235">
        <v>649.17999999999995</v>
      </c>
      <c r="Q235">
        <v>58</v>
      </c>
      <c r="S235">
        <f t="shared" si="12"/>
        <v>557.6865165165168</v>
      </c>
      <c r="T235">
        <f t="shared" si="13"/>
        <v>153</v>
      </c>
      <c r="U235">
        <f t="shared" si="14"/>
        <v>1.9139139139139139</v>
      </c>
      <c r="V235">
        <f t="shared" si="15"/>
        <v>557.6865165165168</v>
      </c>
    </row>
    <row r="236" spans="1:22" x14ac:dyDescent="0.25">
      <c r="A236">
        <v>3695</v>
      </c>
      <c r="B236" s="1">
        <v>43363</v>
      </c>
      <c r="C236" t="s">
        <v>54</v>
      </c>
      <c r="D236" t="s">
        <v>84</v>
      </c>
      <c r="E236" t="s">
        <v>19</v>
      </c>
      <c r="F236" t="s">
        <v>20</v>
      </c>
      <c r="G236" t="s">
        <v>21</v>
      </c>
      <c r="H236" t="s">
        <v>68</v>
      </c>
      <c r="I236" t="s">
        <v>23</v>
      </c>
      <c r="J236" t="s">
        <v>24</v>
      </c>
      <c r="K236" t="s">
        <v>72</v>
      </c>
      <c r="L236">
        <v>1</v>
      </c>
      <c r="M236">
        <v>1</v>
      </c>
      <c r="N236">
        <v>4</v>
      </c>
      <c r="O236">
        <v>4</v>
      </c>
      <c r="P236">
        <v>492.2</v>
      </c>
      <c r="Q236">
        <v>29</v>
      </c>
      <c r="S236">
        <f t="shared" si="12"/>
        <v>557.6865165165168</v>
      </c>
      <c r="T236">
        <f t="shared" si="13"/>
        <v>153</v>
      </c>
      <c r="U236">
        <f t="shared" si="14"/>
        <v>1.9139139139139139</v>
      </c>
      <c r="V236">
        <f t="shared" si="15"/>
        <v>557.6865165165168</v>
      </c>
    </row>
    <row r="237" spans="1:22" x14ac:dyDescent="0.25">
      <c r="A237">
        <v>3696</v>
      </c>
      <c r="B237" s="1">
        <v>44076</v>
      </c>
      <c r="C237" t="s">
        <v>37</v>
      </c>
      <c r="D237" t="s">
        <v>84</v>
      </c>
      <c r="E237" t="s">
        <v>19</v>
      </c>
      <c r="F237" t="s">
        <v>33</v>
      </c>
      <c r="G237" t="s">
        <v>21</v>
      </c>
      <c r="H237" t="s">
        <v>69</v>
      </c>
      <c r="I237" t="s">
        <v>23</v>
      </c>
      <c r="J237" t="s">
        <v>24</v>
      </c>
      <c r="K237" t="s">
        <v>72</v>
      </c>
      <c r="L237">
        <v>2</v>
      </c>
      <c r="M237">
        <v>1</v>
      </c>
      <c r="N237">
        <v>2</v>
      </c>
      <c r="O237">
        <v>2</v>
      </c>
      <c r="P237">
        <v>299.58999999999997</v>
      </c>
      <c r="Q237">
        <v>31</v>
      </c>
      <c r="S237">
        <f t="shared" si="12"/>
        <v>557.6865165165168</v>
      </c>
      <c r="T237">
        <f t="shared" si="13"/>
        <v>153</v>
      </c>
      <c r="U237">
        <f t="shared" si="14"/>
        <v>1.9139139139139139</v>
      </c>
      <c r="V237">
        <f t="shared" si="15"/>
        <v>557.6865165165168</v>
      </c>
    </row>
    <row r="238" spans="1:22" x14ac:dyDescent="0.25">
      <c r="A238">
        <v>3697</v>
      </c>
      <c r="B238" s="1">
        <v>44010</v>
      </c>
      <c r="C238" t="s">
        <v>60</v>
      </c>
      <c r="D238" t="s">
        <v>18</v>
      </c>
      <c r="E238" t="s">
        <v>32</v>
      </c>
      <c r="F238" t="s">
        <v>27</v>
      </c>
      <c r="G238" t="s">
        <v>21</v>
      </c>
      <c r="H238" t="s">
        <v>41</v>
      </c>
      <c r="I238" t="s">
        <v>23</v>
      </c>
      <c r="J238" t="s">
        <v>24</v>
      </c>
      <c r="K238" t="s">
        <v>72</v>
      </c>
      <c r="L238">
        <v>3</v>
      </c>
      <c r="M238">
        <v>4</v>
      </c>
      <c r="N238">
        <v>1</v>
      </c>
      <c r="O238">
        <v>2</v>
      </c>
      <c r="P238">
        <v>982.33</v>
      </c>
      <c r="Q238">
        <v>28</v>
      </c>
      <c r="S238">
        <f t="shared" si="12"/>
        <v>557.6865165165168</v>
      </c>
      <c r="T238">
        <f t="shared" si="13"/>
        <v>153</v>
      </c>
      <c r="U238">
        <f t="shared" si="14"/>
        <v>1.9139139139139139</v>
      </c>
      <c r="V238">
        <f t="shared" si="15"/>
        <v>557.6865165165168</v>
      </c>
    </row>
    <row r="239" spans="1:22" x14ac:dyDescent="0.25">
      <c r="A239">
        <v>3698</v>
      </c>
      <c r="B239" s="1">
        <v>45007</v>
      </c>
      <c r="C239" t="s">
        <v>43</v>
      </c>
      <c r="D239" t="s">
        <v>18</v>
      </c>
      <c r="E239" t="s">
        <v>32</v>
      </c>
      <c r="F239" t="s">
        <v>27</v>
      </c>
      <c r="G239" t="s">
        <v>21</v>
      </c>
      <c r="H239" t="s">
        <v>68</v>
      </c>
      <c r="I239" t="s">
        <v>23</v>
      </c>
      <c r="J239" t="s">
        <v>24</v>
      </c>
      <c r="K239" t="s">
        <v>72</v>
      </c>
      <c r="L239">
        <v>2</v>
      </c>
      <c r="M239">
        <v>5</v>
      </c>
      <c r="N239">
        <v>4</v>
      </c>
      <c r="O239">
        <v>2</v>
      </c>
      <c r="P239">
        <v>830.36</v>
      </c>
      <c r="Q239">
        <v>39</v>
      </c>
      <c r="S239">
        <f t="shared" si="12"/>
        <v>557.6865165165168</v>
      </c>
      <c r="T239">
        <f t="shared" si="13"/>
        <v>153</v>
      </c>
      <c r="U239">
        <f t="shared" si="14"/>
        <v>1.9139139139139139</v>
      </c>
      <c r="V239">
        <f t="shared" si="15"/>
        <v>557.6865165165168</v>
      </c>
    </row>
    <row r="240" spans="1:22" x14ac:dyDescent="0.25">
      <c r="A240">
        <v>3699</v>
      </c>
      <c r="B240" s="1">
        <v>44803</v>
      </c>
      <c r="C240" t="s">
        <v>60</v>
      </c>
      <c r="D240" t="s">
        <v>84</v>
      </c>
      <c r="E240" t="s">
        <v>28</v>
      </c>
      <c r="F240" t="s">
        <v>33</v>
      </c>
      <c r="G240" t="s">
        <v>21</v>
      </c>
      <c r="H240" t="s">
        <v>47</v>
      </c>
      <c r="I240" t="s">
        <v>23</v>
      </c>
      <c r="J240" t="s">
        <v>30</v>
      </c>
      <c r="K240" t="s">
        <v>72</v>
      </c>
      <c r="L240">
        <v>2</v>
      </c>
      <c r="M240">
        <v>4</v>
      </c>
      <c r="N240">
        <v>3</v>
      </c>
      <c r="O240">
        <v>1</v>
      </c>
      <c r="P240">
        <v>973.34</v>
      </c>
      <c r="Q240">
        <v>45</v>
      </c>
      <c r="S240">
        <f t="shared" si="12"/>
        <v>557.6865165165168</v>
      </c>
      <c r="T240">
        <f t="shared" si="13"/>
        <v>153</v>
      </c>
      <c r="U240">
        <f t="shared" si="14"/>
        <v>1.9139139139139139</v>
      </c>
      <c r="V240">
        <f t="shared" si="15"/>
        <v>557.6865165165168</v>
      </c>
    </row>
    <row r="241" spans="1:22" x14ac:dyDescent="0.25">
      <c r="A241">
        <v>3700</v>
      </c>
      <c r="B241" s="1">
        <v>43762</v>
      </c>
      <c r="C241" t="s">
        <v>31</v>
      </c>
      <c r="D241" t="s">
        <v>18</v>
      </c>
      <c r="E241" t="s">
        <v>28</v>
      </c>
      <c r="F241" t="s">
        <v>27</v>
      </c>
      <c r="G241" t="s">
        <v>21</v>
      </c>
      <c r="H241" t="s">
        <v>67</v>
      </c>
      <c r="I241" t="s">
        <v>23</v>
      </c>
      <c r="J241" t="s">
        <v>30</v>
      </c>
      <c r="K241" t="s">
        <v>72</v>
      </c>
      <c r="L241">
        <v>4</v>
      </c>
      <c r="M241">
        <v>1</v>
      </c>
      <c r="N241">
        <v>1</v>
      </c>
      <c r="O241">
        <v>4</v>
      </c>
      <c r="P241">
        <v>667.34</v>
      </c>
      <c r="Q241">
        <v>31</v>
      </c>
      <c r="S241">
        <f t="shared" si="12"/>
        <v>557.6865165165168</v>
      </c>
      <c r="T241">
        <f t="shared" si="13"/>
        <v>153</v>
      </c>
      <c r="U241">
        <f t="shared" si="14"/>
        <v>1.9139139139139139</v>
      </c>
      <c r="V241">
        <f t="shared" si="15"/>
        <v>557.6865165165168</v>
      </c>
    </row>
    <row r="242" spans="1:22" x14ac:dyDescent="0.25">
      <c r="A242">
        <v>3701</v>
      </c>
      <c r="B242" s="1">
        <v>43778</v>
      </c>
      <c r="C242" t="s">
        <v>49</v>
      </c>
      <c r="D242" t="s">
        <v>18</v>
      </c>
      <c r="E242" t="s">
        <v>28</v>
      </c>
      <c r="F242" t="s">
        <v>33</v>
      </c>
      <c r="G242" t="s">
        <v>21</v>
      </c>
      <c r="H242" t="s">
        <v>66</v>
      </c>
      <c r="I242" t="s">
        <v>23</v>
      </c>
      <c r="J242" t="s">
        <v>30</v>
      </c>
      <c r="K242" t="s">
        <v>72</v>
      </c>
      <c r="L242">
        <v>4</v>
      </c>
      <c r="M242">
        <v>1</v>
      </c>
      <c r="N242">
        <v>4</v>
      </c>
      <c r="O242">
        <v>4</v>
      </c>
      <c r="P242">
        <v>480.17</v>
      </c>
      <c r="Q242">
        <v>71</v>
      </c>
      <c r="S242">
        <f t="shared" si="12"/>
        <v>557.6865165165168</v>
      </c>
      <c r="T242">
        <f t="shared" si="13"/>
        <v>153</v>
      </c>
      <c r="U242">
        <f t="shared" si="14"/>
        <v>1.9139139139139139</v>
      </c>
      <c r="V242">
        <f t="shared" si="15"/>
        <v>557.6865165165168</v>
      </c>
    </row>
    <row r="243" spans="1:22" x14ac:dyDescent="0.25">
      <c r="A243">
        <v>3702</v>
      </c>
      <c r="B243" s="1">
        <v>43659</v>
      </c>
      <c r="C243" t="s">
        <v>54</v>
      </c>
      <c r="D243" t="s">
        <v>18</v>
      </c>
      <c r="E243" t="s">
        <v>28</v>
      </c>
      <c r="F243" t="s">
        <v>20</v>
      </c>
      <c r="G243" t="s">
        <v>21</v>
      </c>
      <c r="H243" t="s">
        <v>29</v>
      </c>
      <c r="I243" t="s">
        <v>23</v>
      </c>
      <c r="J243" t="s">
        <v>30</v>
      </c>
      <c r="K243" t="s">
        <v>46</v>
      </c>
      <c r="L243">
        <v>2</v>
      </c>
      <c r="M243">
        <v>4</v>
      </c>
      <c r="N243">
        <v>1</v>
      </c>
      <c r="O243">
        <v>3</v>
      </c>
      <c r="P243">
        <v>346.28</v>
      </c>
      <c r="Q243">
        <v>43</v>
      </c>
      <c r="S243">
        <f t="shared" si="12"/>
        <v>557.6865165165168</v>
      </c>
      <c r="T243">
        <f t="shared" si="13"/>
        <v>153</v>
      </c>
      <c r="U243">
        <f t="shared" si="14"/>
        <v>1.9139139139139139</v>
      </c>
      <c r="V243">
        <f t="shared" si="15"/>
        <v>557.6865165165168</v>
      </c>
    </row>
    <row r="244" spans="1:22" x14ac:dyDescent="0.25">
      <c r="A244">
        <v>3703</v>
      </c>
      <c r="B244" s="1">
        <v>44074</v>
      </c>
      <c r="C244" t="s">
        <v>26</v>
      </c>
      <c r="D244" t="s">
        <v>18</v>
      </c>
      <c r="E244" t="s">
        <v>28</v>
      </c>
      <c r="F244" t="s">
        <v>27</v>
      </c>
      <c r="G244" t="s">
        <v>21</v>
      </c>
      <c r="H244" t="s">
        <v>47</v>
      </c>
      <c r="I244" t="s">
        <v>23</v>
      </c>
      <c r="J244" t="s">
        <v>24</v>
      </c>
      <c r="K244" t="s">
        <v>46</v>
      </c>
      <c r="L244">
        <v>5</v>
      </c>
      <c r="M244">
        <v>5</v>
      </c>
      <c r="N244">
        <v>5</v>
      </c>
      <c r="O244">
        <v>3</v>
      </c>
      <c r="P244">
        <v>121.45</v>
      </c>
      <c r="Q244">
        <v>69</v>
      </c>
      <c r="S244">
        <f t="shared" si="12"/>
        <v>557.6865165165168</v>
      </c>
      <c r="T244">
        <f t="shared" si="13"/>
        <v>153</v>
      </c>
      <c r="U244">
        <f t="shared" si="14"/>
        <v>1.9139139139139139</v>
      </c>
      <c r="V244">
        <f t="shared" si="15"/>
        <v>557.6865165165168</v>
      </c>
    </row>
    <row r="245" spans="1:22" x14ac:dyDescent="0.25">
      <c r="A245">
        <v>3704</v>
      </c>
      <c r="B245" s="1">
        <v>43490</v>
      </c>
      <c r="C245" t="s">
        <v>17</v>
      </c>
      <c r="D245" t="s">
        <v>18</v>
      </c>
      <c r="E245" t="s">
        <v>32</v>
      </c>
      <c r="F245" t="s">
        <v>20</v>
      </c>
      <c r="G245" t="s">
        <v>21</v>
      </c>
      <c r="H245" t="s">
        <v>41</v>
      </c>
      <c r="I245" t="s">
        <v>23</v>
      </c>
      <c r="J245" t="s">
        <v>24</v>
      </c>
      <c r="K245" t="s">
        <v>46</v>
      </c>
      <c r="L245">
        <v>2</v>
      </c>
      <c r="M245">
        <v>4</v>
      </c>
      <c r="N245">
        <v>5</v>
      </c>
      <c r="O245">
        <v>2</v>
      </c>
      <c r="P245">
        <v>669.3</v>
      </c>
      <c r="Q245">
        <v>43</v>
      </c>
      <c r="S245">
        <f t="shared" si="12"/>
        <v>557.6865165165168</v>
      </c>
      <c r="T245">
        <f t="shared" si="13"/>
        <v>153</v>
      </c>
      <c r="U245">
        <f t="shared" si="14"/>
        <v>1.9139139139139139</v>
      </c>
      <c r="V245">
        <f t="shared" si="15"/>
        <v>557.6865165165168</v>
      </c>
    </row>
    <row r="246" spans="1:22" x14ac:dyDescent="0.25">
      <c r="A246">
        <v>3705</v>
      </c>
      <c r="B246" s="1">
        <v>44156</v>
      </c>
      <c r="C246" t="s">
        <v>40</v>
      </c>
      <c r="D246" t="s">
        <v>18</v>
      </c>
      <c r="E246" t="s">
        <v>32</v>
      </c>
      <c r="F246" t="s">
        <v>27</v>
      </c>
      <c r="G246" t="s">
        <v>21</v>
      </c>
      <c r="H246" t="s">
        <v>35</v>
      </c>
      <c r="I246" t="s">
        <v>23</v>
      </c>
      <c r="J246" t="s">
        <v>24</v>
      </c>
      <c r="K246" t="s">
        <v>46</v>
      </c>
      <c r="L246">
        <v>3</v>
      </c>
      <c r="M246">
        <v>1</v>
      </c>
      <c r="N246">
        <v>4</v>
      </c>
      <c r="O246">
        <v>5</v>
      </c>
      <c r="P246">
        <v>983.59</v>
      </c>
      <c r="Q246">
        <v>53</v>
      </c>
      <c r="S246">
        <f t="shared" si="12"/>
        <v>557.6865165165168</v>
      </c>
      <c r="T246">
        <f t="shared" si="13"/>
        <v>153</v>
      </c>
      <c r="U246">
        <f t="shared" si="14"/>
        <v>1.9139139139139139</v>
      </c>
      <c r="V246">
        <f t="shared" si="15"/>
        <v>557.6865165165168</v>
      </c>
    </row>
    <row r="247" spans="1:22" x14ac:dyDescent="0.25">
      <c r="A247">
        <v>3706</v>
      </c>
      <c r="B247" s="1">
        <v>43731</v>
      </c>
      <c r="C247" t="s">
        <v>43</v>
      </c>
      <c r="D247" t="s">
        <v>18</v>
      </c>
      <c r="E247" t="s">
        <v>32</v>
      </c>
      <c r="F247" t="s">
        <v>33</v>
      </c>
      <c r="G247" t="s">
        <v>21</v>
      </c>
      <c r="H247" t="s">
        <v>41</v>
      </c>
      <c r="I247" t="s">
        <v>23</v>
      </c>
      <c r="J247" t="s">
        <v>30</v>
      </c>
      <c r="K247" t="s">
        <v>46</v>
      </c>
      <c r="L247">
        <v>2</v>
      </c>
      <c r="M247">
        <v>1</v>
      </c>
      <c r="N247">
        <v>4</v>
      </c>
      <c r="O247">
        <v>1</v>
      </c>
      <c r="P247">
        <v>304.89999999999998</v>
      </c>
      <c r="Q247">
        <v>45</v>
      </c>
      <c r="S247">
        <f t="shared" si="12"/>
        <v>557.6865165165168</v>
      </c>
      <c r="T247">
        <f t="shared" si="13"/>
        <v>153</v>
      </c>
      <c r="U247">
        <f t="shared" si="14"/>
        <v>1.9139139139139139</v>
      </c>
      <c r="V247">
        <f t="shared" si="15"/>
        <v>557.6865165165168</v>
      </c>
    </row>
    <row r="248" spans="1:22" x14ac:dyDescent="0.25">
      <c r="A248">
        <v>3707</v>
      </c>
      <c r="B248" s="1">
        <v>44906</v>
      </c>
      <c r="C248" t="s">
        <v>37</v>
      </c>
      <c r="D248" t="s">
        <v>18</v>
      </c>
      <c r="E248" t="s">
        <v>19</v>
      </c>
      <c r="F248" t="s">
        <v>33</v>
      </c>
      <c r="G248" t="s">
        <v>21</v>
      </c>
      <c r="H248" t="s">
        <v>47</v>
      </c>
      <c r="I248" t="s">
        <v>23</v>
      </c>
      <c r="J248" t="s">
        <v>30</v>
      </c>
      <c r="K248" t="s">
        <v>46</v>
      </c>
      <c r="L248">
        <v>3</v>
      </c>
      <c r="M248">
        <v>2</v>
      </c>
      <c r="N248">
        <v>4</v>
      </c>
      <c r="O248">
        <v>3</v>
      </c>
      <c r="P248">
        <v>778.72</v>
      </c>
      <c r="Q248">
        <v>27</v>
      </c>
      <c r="S248">
        <f t="shared" si="12"/>
        <v>557.6865165165168</v>
      </c>
      <c r="T248">
        <f t="shared" si="13"/>
        <v>153</v>
      </c>
      <c r="U248">
        <f t="shared" si="14"/>
        <v>1.9139139139139139</v>
      </c>
      <c r="V248">
        <f t="shared" si="15"/>
        <v>557.6865165165168</v>
      </c>
    </row>
    <row r="249" spans="1:22" x14ac:dyDescent="0.25">
      <c r="A249">
        <v>3708</v>
      </c>
      <c r="B249" s="1">
        <v>44064</v>
      </c>
      <c r="C249" t="s">
        <v>52</v>
      </c>
      <c r="D249" t="s">
        <v>18</v>
      </c>
      <c r="E249" t="s">
        <v>32</v>
      </c>
      <c r="F249" t="s">
        <v>20</v>
      </c>
      <c r="G249" t="s">
        <v>21</v>
      </c>
      <c r="H249" t="s">
        <v>63</v>
      </c>
      <c r="I249" t="s">
        <v>23</v>
      </c>
      <c r="J249" t="s">
        <v>30</v>
      </c>
      <c r="K249" t="s">
        <v>46</v>
      </c>
      <c r="L249">
        <v>5</v>
      </c>
      <c r="M249">
        <v>5</v>
      </c>
      <c r="N249">
        <v>2</v>
      </c>
      <c r="O249">
        <v>4</v>
      </c>
      <c r="P249">
        <v>136.15</v>
      </c>
      <c r="Q249">
        <v>46</v>
      </c>
      <c r="S249">
        <f t="shared" si="12"/>
        <v>557.6865165165168</v>
      </c>
      <c r="T249">
        <f t="shared" si="13"/>
        <v>153</v>
      </c>
      <c r="U249">
        <f t="shared" si="14"/>
        <v>1.9139139139139139</v>
      </c>
      <c r="V249">
        <f t="shared" si="15"/>
        <v>557.6865165165168</v>
      </c>
    </row>
    <row r="250" spans="1:22" x14ac:dyDescent="0.25">
      <c r="A250">
        <v>3709</v>
      </c>
      <c r="B250" s="1">
        <v>43500</v>
      </c>
      <c r="C250" t="s">
        <v>60</v>
      </c>
      <c r="D250" t="s">
        <v>18</v>
      </c>
      <c r="E250" t="s">
        <v>32</v>
      </c>
      <c r="F250" t="s">
        <v>20</v>
      </c>
      <c r="G250" t="s">
        <v>21</v>
      </c>
      <c r="H250" t="s">
        <v>56</v>
      </c>
      <c r="I250" t="s">
        <v>23</v>
      </c>
      <c r="J250" t="s">
        <v>30</v>
      </c>
      <c r="K250" t="s">
        <v>46</v>
      </c>
      <c r="L250">
        <v>3</v>
      </c>
      <c r="M250">
        <v>5</v>
      </c>
      <c r="N250">
        <v>3</v>
      </c>
      <c r="O250">
        <v>4</v>
      </c>
      <c r="P250">
        <v>339.84</v>
      </c>
      <c r="Q250">
        <v>50</v>
      </c>
      <c r="S250">
        <f t="shared" si="12"/>
        <v>557.6865165165168</v>
      </c>
      <c r="T250">
        <f t="shared" si="13"/>
        <v>153</v>
      </c>
      <c r="U250">
        <f t="shared" si="14"/>
        <v>1.9139139139139139</v>
      </c>
      <c r="V250">
        <f t="shared" si="15"/>
        <v>557.6865165165168</v>
      </c>
    </row>
    <row r="251" spans="1:22" x14ac:dyDescent="0.25">
      <c r="A251">
        <v>3710</v>
      </c>
      <c r="B251" s="1">
        <v>44498</v>
      </c>
      <c r="C251" t="s">
        <v>31</v>
      </c>
      <c r="D251" t="s">
        <v>18</v>
      </c>
      <c r="E251" t="s">
        <v>32</v>
      </c>
      <c r="F251" t="s">
        <v>20</v>
      </c>
      <c r="G251" t="s">
        <v>21</v>
      </c>
      <c r="H251" t="s">
        <v>29</v>
      </c>
      <c r="I251" t="s">
        <v>23</v>
      </c>
      <c r="J251" t="s">
        <v>24</v>
      </c>
      <c r="K251" t="s">
        <v>46</v>
      </c>
      <c r="L251">
        <v>5</v>
      </c>
      <c r="M251">
        <v>5</v>
      </c>
      <c r="N251">
        <v>3</v>
      </c>
      <c r="O251">
        <v>1</v>
      </c>
      <c r="P251">
        <v>791.78</v>
      </c>
      <c r="Q251">
        <v>61</v>
      </c>
      <c r="S251">
        <f t="shared" si="12"/>
        <v>557.6865165165168</v>
      </c>
      <c r="T251">
        <f t="shared" si="13"/>
        <v>153</v>
      </c>
      <c r="U251">
        <f t="shared" si="14"/>
        <v>1.9139139139139139</v>
      </c>
      <c r="V251">
        <f t="shared" si="15"/>
        <v>557.6865165165168</v>
      </c>
    </row>
    <row r="252" spans="1:22" x14ac:dyDescent="0.25">
      <c r="A252">
        <v>3711</v>
      </c>
      <c r="B252" s="1">
        <v>44394</v>
      </c>
      <c r="C252" t="s">
        <v>49</v>
      </c>
      <c r="D252" t="s">
        <v>18</v>
      </c>
      <c r="E252" t="s">
        <v>28</v>
      </c>
      <c r="F252" t="s">
        <v>27</v>
      </c>
      <c r="G252" t="s">
        <v>21</v>
      </c>
      <c r="H252" t="s">
        <v>22</v>
      </c>
      <c r="I252" t="s">
        <v>23</v>
      </c>
      <c r="J252" t="s">
        <v>24</v>
      </c>
      <c r="K252" t="s">
        <v>64</v>
      </c>
      <c r="L252">
        <v>4</v>
      </c>
      <c r="M252">
        <v>3</v>
      </c>
      <c r="N252">
        <v>3</v>
      </c>
      <c r="O252">
        <v>5</v>
      </c>
      <c r="P252">
        <v>853.26</v>
      </c>
      <c r="Q252">
        <v>40</v>
      </c>
      <c r="S252">
        <f t="shared" si="12"/>
        <v>557.6865165165168</v>
      </c>
      <c r="T252">
        <f t="shared" si="13"/>
        <v>153</v>
      </c>
      <c r="U252">
        <f t="shared" si="14"/>
        <v>1.9139139139139139</v>
      </c>
      <c r="V252">
        <f t="shared" si="15"/>
        <v>557.6865165165168</v>
      </c>
    </row>
    <row r="253" spans="1:22" x14ac:dyDescent="0.25">
      <c r="A253">
        <v>3713</v>
      </c>
      <c r="B253" s="1">
        <v>44033</v>
      </c>
      <c r="C253" t="s">
        <v>26</v>
      </c>
      <c r="D253" t="s">
        <v>18</v>
      </c>
      <c r="E253" t="s">
        <v>32</v>
      </c>
      <c r="F253" t="s">
        <v>33</v>
      </c>
      <c r="G253" t="s">
        <v>21</v>
      </c>
      <c r="H253" t="s">
        <v>35</v>
      </c>
      <c r="I253" t="s">
        <v>23</v>
      </c>
      <c r="J253" t="s">
        <v>30</v>
      </c>
      <c r="K253" t="s">
        <v>25</v>
      </c>
      <c r="L253">
        <v>3</v>
      </c>
      <c r="M253">
        <v>4</v>
      </c>
      <c r="N253">
        <v>1</v>
      </c>
      <c r="O253">
        <v>5</v>
      </c>
      <c r="P253">
        <v>235.82</v>
      </c>
      <c r="Q253">
        <v>35</v>
      </c>
      <c r="S253">
        <f t="shared" si="12"/>
        <v>557.6865165165168</v>
      </c>
      <c r="T253">
        <f t="shared" si="13"/>
        <v>153</v>
      </c>
      <c r="U253">
        <f t="shared" si="14"/>
        <v>1.9139139139139139</v>
      </c>
      <c r="V253">
        <f t="shared" si="15"/>
        <v>557.6865165165168</v>
      </c>
    </row>
    <row r="254" spans="1:22" x14ac:dyDescent="0.25">
      <c r="A254">
        <v>3714</v>
      </c>
      <c r="B254" s="1">
        <v>43849</v>
      </c>
      <c r="C254" t="s">
        <v>17</v>
      </c>
      <c r="D254" t="s">
        <v>18</v>
      </c>
      <c r="E254" t="s">
        <v>32</v>
      </c>
      <c r="F254" t="s">
        <v>33</v>
      </c>
      <c r="G254" t="s">
        <v>21</v>
      </c>
      <c r="H254" t="s">
        <v>41</v>
      </c>
      <c r="I254" t="s">
        <v>23</v>
      </c>
      <c r="J254" t="s">
        <v>30</v>
      </c>
      <c r="K254" t="s">
        <v>25</v>
      </c>
      <c r="L254">
        <v>3</v>
      </c>
      <c r="M254">
        <v>5</v>
      </c>
      <c r="N254">
        <v>2</v>
      </c>
      <c r="O254">
        <v>5</v>
      </c>
      <c r="P254">
        <v>448.57</v>
      </c>
      <c r="Q254">
        <v>55</v>
      </c>
      <c r="S254">
        <f t="shared" si="12"/>
        <v>557.6865165165168</v>
      </c>
      <c r="T254">
        <f t="shared" si="13"/>
        <v>153</v>
      </c>
      <c r="U254">
        <f t="shared" si="14"/>
        <v>1.9139139139139139</v>
      </c>
      <c r="V254">
        <f t="shared" si="15"/>
        <v>557.6865165165168</v>
      </c>
    </row>
    <row r="255" spans="1:22" x14ac:dyDescent="0.25">
      <c r="A255">
        <v>3715</v>
      </c>
      <c r="B255" s="1">
        <v>44451</v>
      </c>
      <c r="C255" t="s">
        <v>40</v>
      </c>
      <c r="D255" t="s">
        <v>18</v>
      </c>
      <c r="E255" t="s">
        <v>19</v>
      </c>
      <c r="F255" t="s">
        <v>27</v>
      </c>
      <c r="G255" t="s">
        <v>21</v>
      </c>
      <c r="H255" t="s">
        <v>62</v>
      </c>
      <c r="I255" t="s">
        <v>23</v>
      </c>
      <c r="J255" t="s">
        <v>30</v>
      </c>
      <c r="K255" t="s">
        <v>25</v>
      </c>
      <c r="L255">
        <v>1</v>
      </c>
      <c r="M255">
        <v>1</v>
      </c>
      <c r="N255">
        <v>4</v>
      </c>
      <c r="O255">
        <v>3</v>
      </c>
      <c r="P255">
        <v>572.55999999999995</v>
      </c>
      <c r="Q255">
        <v>45</v>
      </c>
      <c r="S255">
        <f t="shared" si="12"/>
        <v>557.6865165165168</v>
      </c>
      <c r="T255">
        <f t="shared" si="13"/>
        <v>153</v>
      </c>
      <c r="U255">
        <f t="shared" si="14"/>
        <v>1.9139139139139139</v>
      </c>
      <c r="V255">
        <f t="shared" si="15"/>
        <v>557.6865165165168</v>
      </c>
    </row>
    <row r="256" spans="1:22" x14ac:dyDescent="0.25">
      <c r="A256">
        <v>3716</v>
      </c>
      <c r="B256" s="1">
        <v>44773</v>
      </c>
      <c r="C256" t="s">
        <v>52</v>
      </c>
      <c r="D256" t="s">
        <v>84</v>
      </c>
      <c r="E256" t="s">
        <v>32</v>
      </c>
      <c r="F256" t="s">
        <v>27</v>
      </c>
      <c r="G256" t="s">
        <v>21</v>
      </c>
      <c r="H256" t="s">
        <v>38</v>
      </c>
      <c r="I256" t="s">
        <v>23</v>
      </c>
      <c r="J256" t="s">
        <v>24</v>
      </c>
      <c r="K256" t="s">
        <v>25</v>
      </c>
      <c r="L256">
        <v>5</v>
      </c>
      <c r="M256">
        <v>3</v>
      </c>
      <c r="N256">
        <v>3</v>
      </c>
      <c r="O256">
        <v>4</v>
      </c>
      <c r="P256">
        <v>959.78</v>
      </c>
      <c r="Q256">
        <v>29</v>
      </c>
      <c r="S256">
        <f t="shared" si="12"/>
        <v>557.6865165165168</v>
      </c>
      <c r="T256">
        <f t="shared" si="13"/>
        <v>153</v>
      </c>
      <c r="U256">
        <f t="shared" si="14"/>
        <v>1.9139139139139139</v>
      </c>
      <c r="V256">
        <f t="shared" si="15"/>
        <v>557.6865165165168</v>
      </c>
    </row>
    <row r="257" spans="1:22" x14ac:dyDescent="0.25">
      <c r="A257">
        <v>3717</v>
      </c>
      <c r="B257" s="1">
        <v>45064</v>
      </c>
      <c r="C257" t="s">
        <v>26</v>
      </c>
      <c r="D257" t="s">
        <v>18</v>
      </c>
      <c r="E257" t="s">
        <v>19</v>
      </c>
      <c r="F257" t="s">
        <v>33</v>
      </c>
      <c r="G257" t="s">
        <v>21</v>
      </c>
      <c r="H257" t="s">
        <v>41</v>
      </c>
      <c r="I257" t="s">
        <v>23</v>
      </c>
      <c r="J257" t="s">
        <v>24</v>
      </c>
      <c r="K257" t="s">
        <v>25</v>
      </c>
      <c r="L257">
        <v>4</v>
      </c>
      <c r="M257">
        <v>1</v>
      </c>
      <c r="N257">
        <v>3</v>
      </c>
      <c r="O257">
        <v>3</v>
      </c>
      <c r="P257">
        <v>363.02</v>
      </c>
      <c r="Q257">
        <v>31</v>
      </c>
      <c r="S257">
        <f t="shared" si="12"/>
        <v>557.6865165165168</v>
      </c>
      <c r="T257">
        <f t="shared" si="13"/>
        <v>153</v>
      </c>
      <c r="U257">
        <f t="shared" si="14"/>
        <v>1.9139139139139139</v>
      </c>
      <c r="V257">
        <f t="shared" si="15"/>
        <v>557.6865165165168</v>
      </c>
    </row>
    <row r="258" spans="1:22" x14ac:dyDescent="0.25">
      <c r="A258">
        <v>3718</v>
      </c>
      <c r="B258" s="1">
        <v>44341</v>
      </c>
      <c r="C258" t="s">
        <v>54</v>
      </c>
      <c r="D258" t="s">
        <v>84</v>
      </c>
      <c r="E258" t="s">
        <v>19</v>
      </c>
      <c r="F258" t="s">
        <v>20</v>
      </c>
      <c r="G258" t="s">
        <v>21</v>
      </c>
      <c r="H258" t="s">
        <v>41</v>
      </c>
      <c r="I258" t="s">
        <v>23</v>
      </c>
      <c r="J258" t="s">
        <v>24</v>
      </c>
      <c r="K258" t="s">
        <v>25</v>
      </c>
      <c r="L258">
        <v>1</v>
      </c>
      <c r="M258">
        <v>1</v>
      </c>
      <c r="N258">
        <v>3</v>
      </c>
      <c r="O258">
        <v>2</v>
      </c>
      <c r="P258">
        <v>325.7</v>
      </c>
      <c r="Q258">
        <v>75</v>
      </c>
      <c r="S258">
        <f t="shared" ref="S258:S321" si="16">AVERAGE(P:P)-1</f>
        <v>557.6865165165168</v>
      </c>
      <c r="T258">
        <f t="shared" ref="T258:T321" si="17">COUNTIF(D:D,"Inactive")</f>
        <v>153</v>
      </c>
      <c r="U258">
        <f t="shared" ref="U258:U321" si="18">AVERAGE(L:L)-1</f>
        <v>1.9139139139139139</v>
      </c>
      <c r="V258">
        <f t="shared" ref="V258:V321" si="19">AVERAGE(P:P)-1</f>
        <v>557.6865165165168</v>
      </c>
    </row>
    <row r="259" spans="1:22" x14ac:dyDescent="0.25">
      <c r="A259">
        <v>3719</v>
      </c>
      <c r="B259" s="1">
        <v>44764</v>
      </c>
      <c r="C259" t="s">
        <v>37</v>
      </c>
      <c r="D259" t="s">
        <v>18</v>
      </c>
      <c r="E259" t="s">
        <v>19</v>
      </c>
      <c r="F259" t="s">
        <v>33</v>
      </c>
      <c r="G259" t="s">
        <v>21</v>
      </c>
      <c r="H259" t="s">
        <v>75</v>
      </c>
      <c r="I259" t="s">
        <v>23</v>
      </c>
      <c r="J259" t="s">
        <v>24</v>
      </c>
      <c r="K259" t="s">
        <v>25</v>
      </c>
      <c r="L259">
        <v>1</v>
      </c>
      <c r="M259">
        <v>2</v>
      </c>
      <c r="N259">
        <v>1</v>
      </c>
      <c r="O259">
        <v>3</v>
      </c>
      <c r="P259">
        <v>727.75</v>
      </c>
      <c r="Q259">
        <v>75</v>
      </c>
      <c r="S259">
        <f t="shared" si="16"/>
        <v>557.6865165165168</v>
      </c>
      <c r="T259">
        <f t="shared" si="17"/>
        <v>153</v>
      </c>
      <c r="U259">
        <f t="shared" si="18"/>
        <v>1.9139139139139139</v>
      </c>
      <c r="V259">
        <f t="shared" si="19"/>
        <v>557.6865165165168</v>
      </c>
    </row>
    <row r="260" spans="1:22" x14ac:dyDescent="0.25">
      <c r="A260">
        <v>3720</v>
      </c>
      <c r="B260" s="1">
        <v>43608</v>
      </c>
      <c r="C260" t="s">
        <v>60</v>
      </c>
      <c r="D260" t="s">
        <v>18</v>
      </c>
      <c r="E260" t="s">
        <v>28</v>
      </c>
      <c r="F260" t="s">
        <v>33</v>
      </c>
      <c r="G260" t="s">
        <v>21</v>
      </c>
      <c r="H260" t="s">
        <v>41</v>
      </c>
      <c r="I260" t="s">
        <v>23</v>
      </c>
      <c r="J260" t="s">
        <v>24</v>
      </c>
      <c r="K260" t="s">
        <v>25</v>
      </c>
      <c r="L260">
        <v>2</v>
      </c>
      <c r="M260">
        <v>1</v>
      </c>
      <c r="N260">
        <v>5</v>
      </c>
      <c r="O260">
        <v>2</v>
      </c>
      <c r="P260">
        <v>845.21</v>
      </c>
      <c r="Q260">
        <v>61</v>
      </c>
      <c r="S260">
        <f t="shared" si="16"/>
        <v>557.6865165165168</v>
      </c>
      <c r="T260">
        <f t="shared" si="17"/>
        <v>153</v>
      </c>
      <c r="U260">
        <f t="shared" si="18"/>
        <v>1.9139139139139139</v>
      </c>
      <c r="V260">
        <f t="shared" si="19"/>
        <v>557.6865165165168</v>
      </c>
    </row>
    <row r="261" spans="1:22" x14ac:dyDescent="0.25">
      <c r="A261">
        <v>3721</v>
      </c>
      <c r="B261" s="1">
        <v>43873</v>
      </c>
      <c r="C261" t="s">
        <v>49</v>
      </c>
      <c r="D261" t="s">
        <v>18</v>
      </c>
      <c r="E261" t="s">
        <v>32</v>
      </c>
      <c r="F261" t="s">
        <v>33</v>
      </c>
      <c r="G261" t="s">
        <v>21</v>
      </c>
      <c r="H261" t="s">
        <v>63</v>
      </c>
      <c r="I261" t="s">
        <v>23</v>
      </c>
      <c r="J261" t="s">
        <v>30</v>
      </c>
      <c r="K261" t="s">
        <v>25</v>
      </c>
      <c r="L261">
        <v>5</v>
      </c>
      <c r="M261">
        <v>4</v>
      </c>
      <c r="N261">
        <v>5</v>
      </c>
      <c r="O261">
        <v>4</v>
      </c>
      <c r="P261">
        <v>327.82</v>
      </c>
      <c r="Q261">
        <v>60</v>
      </c>
      <c r="S261">
        <f t="shared" si="16"/>
        <v>557.6865165165168</v>
      </c>
      <c r="T261">
        <f t="shared" si="17"/>
        <v>153</v>
      </c>
      <c r="U261">
        <f t="shared" si="18"/>
        <v>1.9139139139139139</v>
      </c>
      <c r="V261">
        <f t="shared" si="19"/>
        <v>557.6865165165168</v>
      </c>
    </row>
    <row r="262" spans="1:22" x14ac:dyDescent="0.25">
      <c r="A262">
        <v>3722</v>
      </c>
      <c r="B262" s="1">
        <v>43877</v>
      </c>
      <c r="C262" t="s">
        <v>31</v>
      </c>
      <c r="D262" t="s">
        <v>84</v>
      </c>
      <c r="E262" t="s">
        <v>28</v>
      </c>
      <c r="F262" t="s">
        <v>33</v>
      </c>
      <c r="G262" t="s">
        <v>21</v>
      </c>
      <c r="H262" t="s">
        <v>41</v>
      </c>
      <c r="I262" t="s">
        <v>23</v>
      </c>
      <c r="J262" t="s">
        <v>30</v>
      </c>
      <c r="K262" t="s">
        <v>25</v>
      </c>
      <c r="L262">
        <v>1</v>
      </c>
      <c r="M262">
        <v>5</v>
      </c>
      <c r="N262">
        <v>5</v>
      </c>
      <c r="O262">
        <v>1</v>
      </c>
      <c r="P262">
        <v>512.54999999999995</v>
      </c>
      <c r="Q262">
        <v>73</v>
      </c>
      <c r="S262">
        <f t="shared" si="16"/>
        <v>557.6865165165168</v>
      </c>
      <c r="T262">
        <f t="shared" si="17"/>
        <v>153</v>
      </c>
      <c r="U262">
        <f t="shared" si="18"/>
        <v>1.9139139139139139</v>
      </c>
      <c r="V262">
        <f t="shared" si="19"/>
        <v>557.6865165165168</v>
      </c>
    </row>
    <row r="263" spans="1:22" x14ac:dyDescent="0.25">
      <c r="A263">
        <v>3723</v>
      </c>
      <c r="B263" s="1">
        <v>44680</v>
      </c>
      <c r="C263" t="s">
        <v>40</v>
      </c>
      <c r="D263" t="s">
        <v>84</v>
      </c>
      <c r="E263" t="s">
        <v>32</v>
      </c>
      <c r="F263" t="s">
        <v>27</v>
      </c>
      <c r="G263" t="s">
        <v>21</v>
      </c>
      <c r="H263" t="s">
        <v>67</v>
      </c>
      <c r="I263" t="s">
        <v>23</v>
      </c>
      <c r="J263" t="s">
        <v>30</v>
      </c>
      <c r="K263" t="s">
        <v>25</v>
      </c>
      <c r="L263">
        <v>2</v>
      </c>
      <c r="M263">
        <v>1</v>
      </c>
      <c r="N263">
        <v>4</v>
      </c>
      <c r="O263">
        <v>1</v>
      </c>
      <c r="P263">
        <v>457.17</v>
      </c>
      <c r="Q263">
        <v>50</v>
      </c>
      <c r="S263">
        <f t="shared" si="16"/>
        <v>557.6865165165168</v>
      </c>
      <c r="T263">
        <f t="shared" si="17"/>
        <v>153</v>
      </c>
      <c r="U263">
        <f t="shared" si="18"/>
        <v>1.9139139139139139</v>
      </c>
      <c r="V263">
        <f t="shared" si="19"/>
        <v>557.6865165165168</v>
      </c>
    </row>
    <row r="264" spans="1:22" x14ac:dyDescent="0.25">
      <c r="A264">
        <v>3724</v>
      </c>
      <c r="B264" s="1">
        <v>43748</v>
      </c>
      <c r="C264" t="s">
        <v>17</v>
      </c>
      <c r="D264" t="s">
        <v>84</v>
      </c>
      <c r="E264" t="s">
        <v>28</v>
      </c>
      <c r="F264" t="s">
        <v>20</v>
      </c>
      <c r="G264" t="s">
        <v>21</v>
      </c>
      <c r="H264" t="s">
        <v>41</v>
      </c>
      <c r="I264" t="s">
        <v>23</v>
      </c>
      <c r="J264" t="s">
        <v>30</v>
      </c>
      <c r="K264" t="s">
        <v>25</v>
      </c>
      <c r="L264">
        <v>1</v>
      </c>
      <c r="M264">
        <v>2</v>
      </c>
      <c r="N264">
        <v>5</v>
      </c>
      <c r="O264">
        <v>4</v>
      </c>
      <c r="P264">
        <v>573.33000000000004</v>
      </c>
      <c r="Q264">
        <v>50</v>
      </c>
      <c r="S264">
        <f t="shared" si="16"/>
        <v>557.6865165165168</v>
      </c>
      <c r="T264">
        <f t="shared" si="17"/>
        <v>153</v>
      </c>
      <c r="U264">
        <f t="shared" si="18"/>
        <v>1.9139139139139139</v>
      </c>
      <c r="V264">
        <f t="shared" si="19"/>
        <v>557.6865165165168</v>
      </c>
    </row>
    <row r="265" spans="1:22" x14ac:dyDescent="0.25">
      <c r="A265">
        <v>3725</v>
      </c>
      <c r="B265" s="1">
        <v>43562</v>
      </c>
      <c r="C265" t="s">
        <v>52</v>
      </c>
      <c r="D265" t="s">
        <v>18</v>
      </c>
      <c r="E265" t="s">
        <v>19</v>
      </c>
      <c r="F265" t="s">
        <v>33</v>
      </c>
      <c r="G265" t="s">
        <v>21</v>
      </c>
      <c r="H265" t="s">
        <v>29</v>
      </c>
      <c r="I265" t="s">
        <v>23</v>
      </c>
      <c r="J265" t="s">
        <v>30</v>
      </c>
      <c r="K265" t="s">
        <v>25</v>
      </c>
      <c r="L265">
        <v>4</v>
      </c>
      <c r="M265">
        <v>3</v>
      </c>
      <c r="N265">
        <v>3</v>
      </c>
      <c r="O265">
        <v>3</v>
      </c>
      <c r="P265">
        <v>135.18</v>
      </c>
      <c r="Q265">
        <v>64</v>
      </c>
      <c r="S265">
        <f t="shared" si="16"/>
        <v>557.6865165165168</v>
      </c>
      <c r="T265">
        <f t="shared" si="17"/>
        <v>153</v>
      </c>
      <c r="U265">
        <f t="shared" si="18"/>
        <v>1.9139139139139139</v>
      </c>
      <c r="V265">
        <f t="shared" si="19"/>
        <v>557.6865165165168</v>
      </c>
    </row>
    <row r="266" spans="1:22" x14ac:dyDescent="0.25">
      <c r="A266">
        <v>3726</v>
      </c>
      <c r="B266" s="1">
        <v>44025</v>
      </c>
      <c r="C266" t="s">
        <v>26</v>
      </c>
      <c r="D266" t="s">
        <v>18</v>
      </c>
      <c r="E266" t="s">
        <v>19</v>
      </c>
      <c r="F266" t="s">
        <v>27</v>
      </c>
      <c r="G266" t="s">
        <v>21</v>
      </c>
      <c r="H266" t="s">
        <v>38</v>
      </c>
      <c r="I266" t="s">
        <v>23</v>
      </c>
      <c r="J266" t="s">
        <v>24</v>
      </c>
      <c r="K266" t="s">
        <v>25</v>
      </c>
      <c r="L266">
        <v>1</v>
      </c>
      <c r="M266">
        <v>4</v>
      </c>
      <c r="N266">
        <v>1</v>
      </c>
      <c r="O266">
        <v>3</v>
      </c>
      <c r="P266">
        <v>911.12</v>
      </c>
      <c r="Q266">
        <v>25</v>
      </c>
      <c r="S266">
        <f t="shared" si="16"/>
        <v>557.6865165165168</v>
      </c>
      <c r="T266">
        <f t="shared" si="17"/>
        <v>153</v>
      </c>
      <c r="U266">
        <f t="shared" si="18"/>
        <v>1.9139139139139139</v>
      </c>
      <c r="V266">
        <f t="shared" si="19"/>
        <v>557.6865165165168</v>
      </c>
    </row>
    <row r="267" spans="1:22" x14ac:dyDescent="0.25">
      <c r="A267">
        <v>3727</v>
      </c>
      <c r="B267" s="1">
        <v>44434</v>
      </c>
      <c r="C267" t="s">
        <v>54</v>
      </c>
      <c r="D267" t="s">
        <v>18</v>
      </c>
      <c r="E267" t="s">
        <v>28</v>
      </c>
      <c r="F267" t="s">
        <v>20</v>
      </c>
      <c r="G267" t="s">
        <v>21</v>
      </c>
      <c r="H267" t="s">
        <v>41</v>
      </c>
      <c r="I267" t="s">
        <v>23</v>
      </c>
      <c r="J267" t="s">
        <v>24</v>
      </c>
      <c r="K267" t="s">
        <v>25</v>
      </c>
      <c r="L267">
        <v>1</v>
      </c>
      <c r="M267">
        <v>2</v>
      </c>
      <c r="N267">
        <v>5</v>
      </c>
      <c r="O267">
        <v>5</v>
      </c>
      <c r="P267">
        <v>693.8</v>
      </c>
      <c r="Q267">
        <v>76</v>
      </c>
      <c r="S267">
        <f t="shared" si="16"/>
        <v>557.6865165165168</v>
      </c>
      <c r="T267">
        <f t="shared" si="17"/>
        <v>153</v>
      </c>
      <c r="U267">
        <f t="shared" si="18"/>
        <v>1.9139139139139139</v>
      </c>
      <c r="V267">
        <f t="shared" si="19"/>
        <v>557.6865165165168</v>
      </c>
    </row>
    <row r="268" spans="1:22" x14ac:dyDescent="0.25">
      <c r="A268">
        <v>3728</v>
      </c>
      <c r="B268" s="1">
        <v>44553</v>
      </c>
      <c r="C268" t="s">
        <v>37</v>
      </c>
      <c r="D268" t="s">
        <v>18</v>
      </c>
      <c r="E268" t="s">
        <v>19</v>
      </c>
      <c r="F268" t="s">
        <v>27</v>
      </c>
      <c r="G268" t="s">
        <v>21</v>
      </c>
      <c r="H268" t="s">
        <v>56</v>
      </c>
      <c r="I268" t="s">
        <v>23</v>
      </c>
      <c r="J268" t="s">
        <v>30</v>
      </c>
      <c r="K268" t="s">
        <v>25</v>
      </c>
      <c r="L268">
        <v>5</v>
      </c>
      <c r="M268">
        <v>1</v>
      </c>
      <c r="N268">
        <v>2</v>
      </c>
      <c r="O268">
        <v>5</v>
      </c>
      <c r="P268">
        <v>419.79</v>
      </c>
      <c r="Q268">
        <v>54</v>
      </c>
      <c r="S268">
        <f t="shared" si="16"/>
        <v>557.6865165165168</v>
      </c>
      <c r="T268">
        <f t="shared" si="17"/>
        <v>153</v>
      </c>
      <c r="U268">
        <f t="shared" si="18"/>
        <v>1.9139139139139139</v>
      </c>
      <c r="V268">
        <f t="shared" si="19"/>
        <v>557.6865165165168</v>
      </c>
    </row>
    <row r="269" spans="1:22" x14ac:dyDescent="0.25">
      <c r="A269">
        <v>3729</v>
      </c>
      <c r="B269" s="1">
        <v>44903</v>
      </c>
      <c r="C269" t="s">
        <v>40</v>
      </c>
      <c r="D269" t="s">
        <v>18</v>
      </c>
      <c r="E269" t="s">
        <v>19</v>
      </c>
      <c r="F269" t="s">
        <v>33</v>
      </c>
      <c r="G269" t="s">
        <v>21</v>
      </c>
      <c r="H269" t="s">
        <v>67</v>
      </c>
      <c r="I269" t="s">
        <v>23</v>
      </c>
      <c r="J269" t="s">
        <v>30</v>
      </c>
      <c r="K269" t="s">
        <v>25</v>
      </c>
      <c r="L269">
        <v>4</v>
      </c>
      <c r="M269">
        <v>5</v>
      </c>
      <c r="N269">
        <v>3</v>
      </c>
      <c r="O269">
        <v>1</v>
      </c>
      <c r="P269">
        <v>693.56</v>
      </c>
      <c r="Q269">
        <v>79</v>
      </c>
      <c r="S269">
        <f t="shared" si="16"/>
        <v>557.6865165165168</v>
      </c>
      <c r="T269">
        <f t="shared" si="17"/>
        <v>153</v>
      </c>
      <c r="U269">
        <f t="shared" si="18"/>
        <v>1.9139139139139139</v>
      </c>
      <c r="V269">
        <f t="shared" si="19"/>
        <v>557.6865165165168</v>
      </c>
    </row>
    <row r="270" spans="1:22" x14ac:dyDescent="0.25">
      <c r="A270">
        <v>3730</v>
      </c>
      <c r="B270" s="1">
        <v>44579</v>
      </c>
      <c r="C270" t="s">
        <v>17</v>
      </c>
      <c r="D270" t="s">
        <v>18</v>
      </c>
      <c r="E270" t="s">
        <v>19</v>
      </c>
      <c r="F270" t="s">
        <v>33</v>
      </c>
      <c r="G270" t="s">
        <v>21</v>
      </c>
      <c r="H270" t="s">
        <v>63</v>
      </c>
      <c r="I270" t="s">
        <v>23</v>
      </c>
      <c r="J270" t="s">
        <v>30</v>
      </c>
      <c r="K270" t="s">
        <v>25</v>
      </c>
      <c r="L270">
        <v>4</v>
      </c>
      <c r="M270">
        <v>5</v>
      </c>
      <c r="N270">
        <v>5</v>
      </c>
      <c r="O270">
        <v>1</v>
      </c>
      <c r="P270">
        <v>161.47</v>
      </c>
      <c r="Q270">
        <v>57</v>
      </c>
      <c r="S270">
        <f t="shared" si="16"/>
        <v>557.6865165165168</v>
      </c>
      <c r="T270">
        <f t="shared" si="17"/>
        <v>153</v>
      </c>
      <c r="U270">
        <f t="shared" si="18"/>
        <v>1.9139139139139139</v>
      </c>
      <c r="V270">
        <f t="shared" si="19"/>
        <v>557.6865165165168</v>
      </c>
    </row>
    <row r="271" spans="1:22" x14ac:dyDescent="0.25">
      <c r="A271">
        <v>3731</v>
      </c>
      <c r="B271" s="1">
        <v>43889</v>
      </c>
      <c r="C271" t="s">
        <v>26</v>
      </c>
      <c r="D271" t="s">
        <v>18</v>
      </c>
      <c r="E271" t="s">
        <v>28</v>
      </c>
      <c r="F271" t="s">
        <v>33</v>
      </c>
      <c r="G271" t="s">
        <v>21</v>
      </c>
      <c r="H271" t="s">
        <v>41</v>
      </c>
      <c r="I271" t="s">
        <v>23</v>
      </c>
      <c r="J271" t="s">
        <v>30</v>
      </c>
      <c r="K271" t="s">
        <v>25</v>
      </c>
      <c r="L271">
        <v>2</v>
      </c>
      <c r="M271">
        <v>4</v>
      </c>
      <c r="N271">
        <v>1</v>
      </c>
      <c r="O271">
        <v>5</v>
      </c>
      <c r="P271">
        <v>773.63</v>
      </c>
      <c r="Q271">
        <v>22</v>
      </c>
      <c r="S271">
        <f t="shared" si="16"/>
        <v>557.6865165165168</v>
      </c>
      <c r="T271">
        <f t="shared" si="17"/>
        <v>153</v>
      </c>
      <c r="U271">
        <f t="shared" si="18"/>
        <v>1.9139139139139139</v>
      </c>
      <c r="V271">
        <f t="shared" si="19"/>
        <v>557.6865165165168</v>
      </c>
    </row>
    <row r="272" spans="1:22" x14ac:dyDescent="0.25">
      <c r="A272">
        <v>3732</v>
      </c>
      <c r="B272" s="1">
        <v>43982</v>
      </c>
      <c r="C272" t="s">
        <v>54</v>
      </c>
      <c r="D272" t="s">
        <v>18</v>
      </c>
      <c r="E272" t="s">
        <v>28</v>
      </c>
      <c r="F272" t="s">
        <v>33</v>
      </c>
      <c r="G272" t="s">
        <v>21</v>
      </c>
      <c r="H272" t="s">
        <v>41</v>
      </c>
      <c r="I272" t="s">
        <v>23</v>
      </c>
      <c r="J272" t="s">
        <v>30</v>
      </c>
      <c r="K272" t="s">
        <v>25</v>
      </c>
      <c r="L272">
        <v>3</v>
      </c>
      <c r="M272">
        <v>4</v>
      </c>
      <c r="N272">
        <v>4</v>
      </c>
      <c r="O272">
        <v>5</v>
      </c>
      <c r="P272">
        <v>695.42</v>
      </c>
      <c r="Q272">
        <v>66</v>
      </c>
      <c r="S272">
        <f t="shared" si="16"/>
        <v>557.6865165165168</v>
      </c>
      <c r="T272">
        <f t="shared" si="17"/>
        <v>153</v>
      </c>
      <c r="U272">
        <f t="shared" si="18"/>
        <v>1.9139139139139139</v>
      </c>
      <c r="V272">
        <f t="shared" si="19"/>
        <v>557.6865165165168</v>
      </c>
    </row>
    <row r="273" spans="1:22" x14ac:dyDescent="0.25">
      <c r="A273">
        <v>3734</v>
      </c>
      <c r="B273" s="1">
        <v>43531</v>
      </c>
      <c r="C273" t="s">
        <v>31</v>
      </c>
      <c r="D273" t="s">
        <v>18</v>
      </c>
      <c r="E273" t="s">
        <v>32</v>
      </c>
      <c r="F273" t="s">
        <v>20</v>
      </c>
      <c r="G273" t="s">
        <v>21</v>
      </c>
      <c r="H273" t="s">
        <v>74</v>
      </c>
      <c r="I273" t="s">
        <v>23</v>
      </c>
      <c r="J273" t="s">
        <v>30</v>
      </c>
      <c r="K273" t="s">
        <v>25</v>
      </c>
      <c r="L273">
        <v>4</v>
      </c>
      <c r="M273">
        <v>5</v>
      </c>
      <c r="N273">
        <v>2</v>
      </c>
      <c r="O273">
        <v>2</v>
      </c>
      <c r="P273">
        <v>702.69</v>
      </c>
      <c r="Q273">
        <v>55</v>
      </c>
      <c r="S273">
        <f t="shared" si="16"/>
        <v>557.6865165165168</v>
      </c>
      <c r="T273">
        <f t="shared" si="17"/>
        <v>153</v>
      </c>
      <c r="U273">
        <f t="shared" si="18"/>
        <v>1.9139139139139139</v>
      </c>
      <c r="V273">
        <f t="shared" si="19"/>
        <v>557.6865165165168</v>
      </c>
    </row>
    <row r="274" spans="1:22" x14ac:dyDescent="0.25">
      <c r="A274">
        <v>3735</v>
      </c>
      <c r="B274" s="1">
        <v>43614</v>
      </c>
      <c r="C274" t="s">
        <v>60</v>
      </c>
      <c r="D274" t="s">
        <v>18</v>
      </c>
      <c r="E274" t="s">
        <v>19</v>
      </c>
      <c r="F274" t="s">
        <v>20</v>
      </c>
      <c r="G274" t="s">
        <v>21</v>
      </c>
      <c r="H274" t="s">
        <v>69</v>
      </c>
      <c r="I274" t="s">
        <v>23</v>
      </c>
      <c r="J274" t="s">
        <v>30</v>
      </c>
      <c r="K274" t="s">
        <v>25</v>
      </c>
      <c r="L274">
        <v>4</v>
      </c>
      <c r="M274">
        <v>4</v>
      </c>
      <c r="N274">
        <v>4</v>
      </c>
      <c r="O274">
        <v>1</v>
      </c>
      <c r="P274">
        <v>473.1</v>
      </c>
      <c r="Q274">
        <v>56</v>
      </c>
      <c r="S274">
        <f t="shared" si="16"/>
        <v>557.6865165165168</v>
      </c>
      <c r="T274">
        <f t="shared" si="17"/>
        <v>153</v>
      </c>
      <c r="U274">
        <f t="shared" si="18"/>
        <v>1.9139139139139139</v>
      </c>
      <c r="V274">
        <f t="shared" si="19"/>
        <v>557.6865165165168</v>
      </c>
    </row>
    <row r="275" spans="1:22" x14ac:dyDescent="0.25">
      <c r="A275">
        <v>3736</v>
      </c>
      <c r="B275" s="1">
        <v>44122</v>
      </c>
      <c r="C275" t="s">
        <v>52</v>
      </c>
      <c r="D275" t="s">
        <v>18</v>
      </c>
      <c r="E275" t="s">
        <v>32</v>
      </c>
      <c r="F275" t="s">
        <v>27</v>
      </c>
      <c r="G275" t="s">
        <v>21</v>
      </c>
      <c r="H275" t="s">
        <v>67</v>
      </c>
      <c r="I275" t="s">
        <v>23</v>
      </c>
      <c r="J275" t="s">
        <v>30</v>
      </c>
      <c r="K275" t="s">
        <v>25</v>
      </c>
      <c r="L275">
        <v>3</v>
      </c>
      <c r="M275">
        <v>1</v>
      </c>
      <c r="N275">
        <v>3</v>
      </c>
      <c r="O275">
        <v>2</v>
      </c>
      <c r="P275">
        <v>119.82</v>
      </c>
      <c r="Q275">
        <v>44</v>
      </c>
      <c r="S275">
        <f t="shared" si="16"/>
        <v>557.6865165165168</v>
      </c>
      <c r="T275">
        <f t="shared" si="17"/>
        <v>153</v>
      </c>
      <c r="U275">
        <f t="shared" si="18"/>
        <v>1.9139139139139139</v>
      </c>
      <c r="V275">
        <f t="shared" si="19"/>
        <v>557.6865165165168</v>
      </c>
    </row>
    <row r="276" spans="1:22" x14ac:dyDescent="0.25">
      <c r="A276">
        <v>3737</v>
      </c>
      <c r="B276" s="1">
        <v>43423</v>
      </c>
      <c r="C276" t="s">
        <v>37</v>
      </c>
      <c r="D276" t="s">
        <v>18</v>
      </c>
      <c r="E276" t="s">
        <v>28</v>
      </c>
      <c r="F276" t="s">
        <v>33</v>
      </c>
      <c r="G276" t="s">
        <v>21</v>
      </c>
      <c r="H276" t="s">
        <v>70</v>
      </c>
      <c r="I276" t="s">
        <v>23</v>
      </c>
      <c r="J276" t="s">
        <v>30</v>
      </c>
      <c r="K276" t="s">
        <v>25</v>
      </c>
      <c r="L276">
        <v>2</v>
      </c>
      <c r="M276">
        <v>5</v>
      </c>
      <c r="N276">
        <v>1</v>
      </c>
      <c r="O276">
        <v>1</v>
      </c>
      <c r="P276">
        <v>157.80000000000001</v>
      </c>
      <c r="Q276">
        <v>72</v>
      </c>
      <c r="S276">
        <f t="shared" si="16"/>
        <v>557.6865165165168</v>
      </c>
      <c r="T276">
        <f t="shared" si="17"/>
        <v>153</v>
      </c>
      <c r="U276">
        <f t="shared" si="18"/>
        <v>1.9139139139139139</v>
      </c>
      <c r="V276">
        <f t="shared" si="19"/>
        <v>557.6865165165168</v>
      </c>
    </row>
    <row r="277" spans="1:22" x14ac:dyDescent="0.25">
      <c r="A277">
        <v>3738</v>
      </c>
      <c r="B277" s="1">
        <v>44666</v>
      </c>
      <c r="C277" t="s">
        <v>52</v>
      </c>
      <c r="D277" t="s">
        <v>84</v>
      </c>
      <c r="E277" t="s">
        <v>32</v>
      </c>
      <c r="F277" t="s">
        <v>27</v>
      </c>
      <c r="G277" t="s">
        <v>21</v>
      </c>
      <c r="H277" t="s">
        <v>38</v>
      </c>
      <c r="I277" t="s">
        <v>23</v>
      </c>
      <c r="J277" t="s">
        <v>24</v>
      </c>
      <c r="K277" t="s">
        <v>25</v>
      </c>
      <c r="L277">
        <v>3</v>
      </c>
      <c r="M277">
        <v>3</v>
      </c>
      <c r="N277">
        <v>5</v>
      </c>
      <c r="O277">
        <v>3</v>
      </c>
      <c r="P277">
        <v>791.98</v>
      </c>
      <c r="Q277">
        <v>22</v>
      </c>
      <c r="S277">
        <f t="shared" si="16"/>
        <v>557.6865165165168</v>
      </c>
      <c r="T277">
        <f t="shared" si="17"/>
        <v>153</v>
      </c>
      <c r="U277">
        <f t="shared" si="18"/>
        <v>1.9139139139139139</v>
      </c>
      <c r="V277">
        <f t="shared" si="19"/>
        <v>557.6865165165168</v>
      </c>
    </row>
    <row r="278" spans="1:22" x14ac:dyDescent="0.25">
      <c r="A278">
        <v>3739</v>
      </c>
      <c r="B278" s="1">
        <v>43336</v>
      </c>
      <c r="C278" t="s">
        <v>26</v>
      </c>
      <c r="D278" t="s">
        <v>84</v>
      </c>
      <c r="E278" t="s">
        <v>32</v>
      </c>
      <c r="F278" t="s">
        <v>33</v>
      </c>
      <c r="G278" t="s">
        <v>21</v>
      </c>
      <c r="H278" t="s">
        <v>41</v>
      </c>
      <c r="I278" t="s">
        <v>23</v>
      </c>
      <c r="J278" t="s">
        <v>24</v>
      </c>
      <c r="K278" t="s">
        <v>25</v>
      </c>
      <c r="L278">
        <v>1</v>
      </c>
      <c r="M278">
        <v>3</v>
      </c>
      <c r="N278">
        <v>4</v>
      </c>
      <c r="O278">
        <v>5</v>
      </c>
      <c r="P278">
        <v>752.97</v>
      </c>
      <c r="Q278">
        <v>67</v>
      </c>
      <c r="S278">
        <f t="shared" si="16"/>
        <v>557.6865165165168</v>
      </c>
      <c r="T278">
        <f t="shared" si="17"/>
        <v>153</v>
      </c>
      <c r="U278">
        <f t="shared" si="18"/>
        <v>1.9139139139139139</v>
      </c>
      <c r="V278">
        <f t="shared" si="19"/>
        <v>557.6865165165168</v>
      </c>
    </row>
    <row r="279" spans="1:22" x14ac:dyDescent="0.25">
      <c r="A279">
        <v>3740</v>
      </c>
      <c r="B279" s="1">
        <v>44849</v>
      </c>
      <c r="C279" t="s">
        <v>54</v>
      </c>
      <c r="D279" t="s">
        <v>84</v>
      </c>
      <c r="E279" t="s">
        <v>32</v>
      </c>
      <c r="F279" t="s">
        <v>20</v>
      </c>
      <c r="G279" t="s">
        <v>21</v>
      </c>
      <c r="H279" t="s">
        <v>70</v>
      </c>
      <c r="I279" t="s">
        <v>23</v>
      </c>
      <c r="J279" t="s">
        <v>24</v>
      </c>
      <c r="K279" t="s">
        <v>25</v>
      </c>
      <c r="L279">
        <v>2</v>
      </c>
      <c r="M279">
        <v>2</v>
      </c>
      <c r="N279">
        <v>4</v>
      </c>
      <c r="O279">
        <v>5</v>
      </c>
      <c r="P279">
        <v>916.21</v>
      </c>
      <c r="Q279">
        <v>21</v>
      </c>
      <c r="S279">
        <f t="shared" si="16"/>
        <v>557.6865165165168</v>
      </c>
      <c r="T279">
        <f t="shared" si="17"/>
        <v>153</v>
      </c>
      <c r="U279">
        <f t="shared" si="18"/>
        <v>1.9139139139139139</v>
      </c>
      <c r="V279">
        <f t="shared" si="19"/>
        <v>557.6865165165168</v>
      </c>
    </row>
    <row r="280" spans="1:22" x14ac:dyDescent="0.25">
      <c r="A280">
        <v>3741</v>
      </c>
      <c r="B280" s="1">
        <v>44984</v>
      </c>
      <c r="C280" t="s">
        <v>37</v>
      </c>
      <c r="D280" t="s">
        <v>84</v>
      </c>
      <c r="E280" t="s">
        <v>32</v>
      </c>
      <c r="F280" t="s">
        <v>27</v>
      </c>
      <c r="G280" t="s">
        <v>21</v>
      </c>
      <c r="H280" t="s">
        <v>41</v>
      </c>
      <c r="I280" t="s">
        <v>23</v>
      </c>
      <c r="J280" t="s">
        <v>24</v>
      </c>
      <c r="K280" t="s">
        <v>25</v>
      </c>
      <c r="L280">
        <v>2</v>
      </c>
      <c r="M280">
        <v>5</v>
      </c>
      <c r="N280">
        <v>4</v>
      </c>
      <c r="O280">
        <v>2</v>
      </c>
      <c r="P280">
        <v>751.04</v>
      </c>
      <c r="Q280">
        <v>75</v>
      </c>
      <c r="S280">
        <f t="shared" si="16"/>
        <v>557.6865165165168</v>
      </c>
      <c r="T280">
        <f t="shared" si="17"/>
        <v>153</v>
      </c>
      <c r="U280">
        <f t="shared" si="18"/>
        <v>1.9139139139139139</v>
      </c>
      <c r="V280">
        <f t="shared" si="19"/>
        <v>557.6865165165168</v>
      </c>
    </row>
    <row r="281" spans="1:22" x14ac:dyDescent="0.25">
      <c r="A281">
        <v>3742</v>
      </c>
      <c r="B281" s="1">
        <v>44461</v>
      </c>
      <c r="C281" t="s">
        <v>60</v>
      </c>
      <c r="D281" t="s">
        <v>18</v>
      </c>
      <c r="E281" t="s">
        <v>19</v>
      </c>
      <c r="F281" t="s">
        <v>27</v>
      </c>
      <c r="G281" t="s">
        <v>21</v>
      </c>
      <c r="H281" t="s">
        <v>41</v>
      </c>
      <c r="I281" t="s">
        <v>23</v>
      </c>
      <c r="J281" t="s">
        <v>24</v>
      </c>
      <c r="K281" t="s">
        <v>25</v>
      </c>
      <c r="L281">
        <v>2</v>
      </c>
      <c r="M281">
        <v>1</v>
      </c>
      <c r="N281">
        <v>1</v>
      </c>
      <c r="O281">
        <v>3</v>
      </c>
      <c r="P281">
        <v>620.63</v>
      </c>
      <c r="Q281">
        <v>40</v>
      </c>
      <c r="S281">
        <f t="shared" si="16"/>
        <v>557.6865165165168</v>
      </c>
      <c r="T281">
        <f t="shared" si="17"/>
        <v>153</v>
      </c>
      <c r="U281">
        <f t="shared" si="18"/>
        <v>1.9139139139139139</v>
      </c>
      <c r="V281">
        <f t="shared" si="19"/>
        <v>557.6865165165168</v>
      </c>
    </row>
    <row r="282" spans="1:22" x14ac:dyDescent="0.25">
      <c r="A282">
        <v>3743</v>
      </c>
      <c r="B282" s="1">
        <v>43981</v>
      </c>
      <c r="C282" t="s">
        <v>43</v>
      </c>
      <c r="D282" t="s">
        <v>18</v>
      </c>
      <c r="E282" t="s">
        <v>19</v>
      </c>
      <c r="F282" t="s">
        <v>27</v>
      </c>
      <c r="G282" t="s">
        <v>21</v>
      </c>
      <c r="H282" t="s">
        <v>38</v>
      </c>
      <c r="I282" t="s">
        <v>23</v>
      </c>
      <c r="J282" t="s">
        <v>30</v>
      </c>
      <c r="K282" t="s">
        <v>25</v>
      </c>
      <c r="L282">
        <v>2</v>
      </c>
      <c r="M282">
        <v>1</v>
      </c>
      <c r="N282">
        <v>3</v>
      </c>
      <c r="O282">
        <v>3</v>
      </c>
      <c r="P282">
        <v>439.3</v>
      </c>
      <c r="Q282">
        <v>70</v>
      </c>
      <c r="S282">
        <f t="shared" si="16"/>
        <v>557.6865165165168</v>
      </c>
      <c r="T282">
        <f t="shared" si="17"/>
        <v>153</v>
      </c>
      <c r="U282">
        <f t="shared" si="18"/>
        <v>1.9139139139139139</v>
      </c>
      <c r="V282">
        <f t="shared" si="19"/>
        <v>557.6865165165168</v>
      </c>
    </row>
    <row r="283" spans="1:22" x14ac:dyDescent="0.25">
      <c r="A283">
        <v>3744</v>
      </c>
      <c r="B283" s="1">
        <v>44085</v>
      </c>
      <c r="C283" t="s">
        <v>49</v>
      </c>
      <c r="D283" t="s">
        <v>18</v>
      </c>
      <c r="E283" t="s">
        <v>28</v>
      </c>
      <c r="F283" t="s">
        <v>33</v>
      </c>
      <c r="G283" t="s">
        <v>21</v>
      </c>
      <c r="H283" t="s">
        <v>29</v>
      </c>
      <c r="I283" t="s">
        <v>23</v>
      </c>
      <c r="J283" t="s">
        <v>24</v>
      </c>
      <c r="K283" t="s">
        <v>25</v>
      </c>
      <c r="L283">
        <v>4</v>
      </c>
      <c r="M283">
        <v>3</v>
      </c>
      <c r="N283">
        <v>2</v>
      </c>
      <c r="O283">
        <v>1</v>
      </c>
      <c r="P283">
        <v>716.39</v>
      </c>
      <c r="Q283">
        <v>56</v>
      </c>
      <c r="S283">
        <f t="shared" si="16"/>
        <v>557.6865165165168</v>
      </c>
      <c r="T283">
        <f t="shared" si="17"/>
        <v>153</v>
      </c>
      <c r="U283">
        <f t="shared" si="18"/>
        <v>1.9139139139139139</v>
      </c>
      <c r="V283">
        <f t="shared" si="19"/>
        <v>557.6865165165168</v>
      </c>
    </row>
    <row r="284" spans="1:22" x14ac:dyDescent="0.25">
      <c r="A284">
        <v>3745</v>
      </c>
      <c r="B284" s="1">
        <v>43616</v>
      </c>
      <c r="C284" t="s">
        <v>31</v>
      </c>
      <c r="D284" t="s">
        <v>84</v>
      </c>
      <c r="E284" t="s">
        <v>32</v>
      </c>
      <c r="F284" t="s">
        <v>20</v>
      </c>
      <c r="G284" t="s">
        <v>21</v>
      </c>
      <c r="H284" t="s">
        <v>38</v>
      </c>
      <c r="I284" t="s">
        <v>23</v>
      </c>
      <c r="J284" t="s">
        <v>30</v>
      </c>
      <c r="K284" t="s">
        <v>25</v>
      </c>
      <c r="L284">
        <v>5</v>
      </c>
      <c r="M284">
        <v>4</v>
      </c>
      <c r="N284">
        <v>4</v>
      </c>
      <c r="O284">
        <v>5</v>
      </c>
      <c r="P284">
        <v>300.33</v>
      </c>
      <c r="Q284">
        <v>41</v>
      </c>
      <c r="S284">
        <f t="shared" si="16"/>
        <v>557.6865165165168</v>
      </c>
      <c r="T284">
        <f t="shared" si="17"/>
        <v>153</v>
      </c>
      <c r="U284">
        <f t="shared" si="18"/>
        <v>1.9139139139139139</v>
      </c>
      <c r="V284">
        <f t="shared" si="19"/>
        <v>557.6865165165168</v>
      </c>
    </row>
    <row r="285" spans="1:22" x14ac:dyDescent="0.25">
      <c r="A285">
        <v>3746</v>
      </c>
      <c r="B285" s="1">
        <v>44025</v>
      </c>
      <c r="C285" t="s">
        <v>40</v>
      </c>
      <c r="D285" t="s">
        <v>18</v>
      </c>
      <c r="E285" t="s">
        <v>28</v>
      </c>
      <c r="F285" t="s">
        <v>33</v>
      </c>
      <c r="G285" t="s">
        <v>21</v>
      </c>
      <c r="H285" t="s">
        <v>66</v>
      </c>
      <c r="I285" t="s">
        <v>23</v>
      </c>
      <c r="J285" t="s">
        <v>30</v>
      </c>
      <c r="K285" t="s">
        <v>25</v>
      </c>
      <c r="L285">
        <v>2</v>
      </c>
      <c r="M285">
        <v>1</v>
      </c>
      <c r="N285">
        <v>5</v>
      </c>
      <c r="O285">
        <v>3</v>
      </c>
      <c r="P285">
        <v>337.15</v>
      </c>
      <c r="Q285">
        <v>51</v>
      </c>
      <c r="S285">
        <f t="shared" si="16"/>
        <v>557.6865165165168</v>
      </c>
      <c r="T285">
        <f t="shared" si="17"/>
        <v>153</v>
      </c>
      <c r="U285">
        <f t="shared" si="18"/>
        <v>1.9139139139139139</v>
      </c>
      <c r="V285">
        <f t="shared" si="19"/>
        <v>557.6865165165168</v>
      </c>
    </row>
    <row r="286" spans="1:22" x14ac:dyDescent="0.25">
      <c r="A286">
        <v>3747</v>
      </c>
      <c r="B286" s="1">
        <v>44448</v>
      </c>
      <c r="C286" t="s">
        <v>17</v>
      </c>
      <c r="D286" t="s">
        <v>84</v>
      </c>
      <c r="E286" t="s">
        <v>28</v>
      </c>
      <c r="F286" t="s">
        <v>20</v>
      </c>
      <c r="G286" t="s">
        <v>21</v>
      </c>
      <c r="H286" t="s">
        <v>74</v>
      </c>
      <c r="I286" t="s">
        <v>23</v>
      </c>
      <c r="J286" t="s">
        <v>30</v>
      </c>
      <c r="K286" t="s">
        <v>25</v>
      </c>
      <c r="L286">
        <v>2</v>
      </c>
      <c r="M286">
        <v>5</v>
      </c>
      <c r="N286">
        <v>5</v>
      </c>
      <c r="O286">
        <v>5</v>
      </c>
      <c r="P286">
        <v>725.6</v>
      </c>
      <c r="Q286">
        <v>77</v>
      </c>
      <c r="S286">
        <f t="shared" si="16"/>
        <v>557.6865165165168</v>
      </c>
      <c r="T286">
        <f t="shared" si="17"/>
        <v>153</v>
      </c>
      <c r="U286">
        <f t="shared" si="18"/>
        <v>1.9139139139139139</v>
      </c>
      <c r="V286">
        <f t="shared" si="19"/>
        <v>557.6865165165168</v>
      </c>
    </row>
    <row r="287" spans="1:22" x14ac:dyDescent="0.25">
      <c r="A287">
        <v>3748</v>
      </c>
      <c r="B287" s="1">
        <v>43561</v>
      </c>
      <c r="C287" t="s">
        <v>52</v>
      </c>
      <c r="D287" t="s">
        <v>18</v>
      </c>
      <c r="E287" t="s">
        <v>32</v>
      </c>
      <c r="F287" t="s">
        <v>20</v>
      </c>
      <c r="G287" t="s">
        <v>21</v>
      </c>
      <c r="H287" t="s">
        <v>38</v>
      </c>
      <c r="I287" t="s">
        <v>23</v>
      </c>
      <c r="J287" t="s">
        <v>30</v>
      </c>
      <c r="K287" t="s">
        <v>25</v>
      </c>
      <c r="L287">
        <v>4</v>
      </c>
      <c r="M287">
        <v>1</v>
      </c>
      <c r="N287">
        <v>3</v>
      </c>
      <c r="O287">
        <v>5</v>
      </c>
      <c r="P287">
        <v>588.88</v>
      </c>
      <c r="Q287">
        <v>50</v>
      </c>
      <c r="S287">
        <f t="shared" si="16"/>
        <v>557.6865165165168</v>
      </c>
      <c r="T287">
        <f t="shared" si="17"/>
        <v>153</v>
      </c>
      <c r="U287">
        <f t="shared" si="18"/>
        <v>1.9139139139139139</v>
      </c>
      <c r="V287">
        <f t="shared" si="19"/>
        <v>557.6865165165168</v>
      </c>
    </row>
    <row r="288" spans="1:22" x14ac:dyDescent="0.25">
      <c r="A288">
        <v>3749</v>
      </c>
      <c r="B288" s="1">
        <v>44243</v>
      </c>
      <c r="C288" t="s">
        <v>26</v>
      </c>
      <c r="D288" t="s">
        <v>18</v>
      </c>
      <c r="E288" t="s">
        <v>32</v>
      </c>
      <c r="F288" t="s">
        <v>27</v>
      </c>
      <c r="G288" t="s">
        <v>21</v>
      </c>
      <c r="H288" t="s">
        <v>65</v>
      </c>
      <c r="I288" t="s">
        <v>23</v>
      </c>
      <c r="J288" t="s">
        <v>24</v>
      </c>
      <c r="K288" t="s">
        <v>25</v>
      </c>
      <c r="L288">
        <v>1</v>
      </c>
      <c r="M288">
        <v>3</v>
      </c>
      <c r="N288">
        <v>3</v>
      </c>
      <c r="O288">
        <v>4</v>
      </c>
      <c r="P288">
        <v>742.98</v>
      </c>
      <c r="Q288">
        <v>36</v>
      </c>
      <c r="S288">
        <f t="shared" si="16"/>
        <v>557.6865165165168</v>
      </c>
      <c r="T288">
        <f t="shared" si="17"/>
        <v>153</v>
      </c>
      <c r="U288">
        <f t="shared" si="18"/>
        <v>1.9139139139139139</v>
      </c>
      <c r="V288">
        <f t="shared" si="19"/>
        <v>557.6865165165168</v>
      </c>
    </row>
    <row r="289" spans="1:22" x14ac:dyDescent="0.25">
      <c r="A289">
        <v>3750</v>
      </c>
      <c r="B289" s="1">
        <v>43878</v>
      </c>
      <c r="C289" t="s">
        <v>54</v>
      </c>
      <c r="D289" t="s">
        <v>18</v>
      </c>
      <c r="E289" t="s">
        <v>32</v>
      </c>
      <c r="F289" t="s">
        <v>20</v>
      </c>
      <c r="G289" t="s">
        <v>21</v>
      </c>
      <c r="H289" t="s">
        <v>47</v>
      </c>
      <c r="I289" t="s">
        <v>23</v>
      </c>
      <c r="J289" t="s">
        <v>30</v>
      </c>
      <c r="K289" t="s">
        <v>25</v>
      </c>
      <c r="L289">
        <v>4</v>
      </c>
      <c r="M289">
        <v>1</v>
      </c>
      <c r="N289">
        <v>5</v>
      </c>
      <c r="O289">
        <v>5</v>
      </c>
      <c r="P289">
        <v>283.05</v>
      </c>
      <c r="Q289">
        <v>65</v>
      </c>
      <c r="S289">
        <f t="shared" si="16"/>
        <v>557.6865165165168</v>
      </c>
      <c r="T289">
        <f t="shared" si="17"/>
        <v>153</v>
      </c>
      <c r="U289">
        <f t="shared" si="18"/>
        <v>1.9139139139139139</v>
      </c>
      <c r="V289">
        <f t="shared" si="19"/>
        <v>557.6865165165168</v>
      </c>
    </row>
    <row r="290" spans="1:22" x14ac:dyDescent="0.25">
      <c r="A290">
        <v>3751</v>
      </c>
      <c r="B290" s="1">
        <v>44484</v>
      </c>
      <c r="C290" t="s">
        <v>37</v>
      </c>
      <c r="D290" t="s">
        <v>18</v>
      </c>
      <c r="E290" t="s">
        <v>19</v>
      </c>
      <c r="F290" t="s">
        <v>27</v>
      </c>
      <c r="G290" t="s">
        <v>21</v>
      </c>
      <c r="H290" t="s">
        <v>29</v>
      </c>
      <c r="I290" t="s">
        <v>23</v>
      </c>
      <c r="J290" t="s">
        <v>30</v>
      </c>
      <c r="K290" t="s">
        <v>25</v>
      </c>
      <c r="L290">
        <v>1</v>
      </c>
      <c r="M290">
        <v>1</v>
      </c>
      <c r="N290">
        <v>4</v>
      </c>
      <c r="O290">
        <v>4</v>
      </c>
      <c r="P290">
        <v>511.13</v>
      </c>
      <c r="Q290">
        <v>49</v>
      </c>
      <c r="S290">
        <f t="shared" si="16"/>
        <v>557.6865165165168</v>
      </c>
      <c r="T290">
        <f t="shared" si="17"/>
        <v>153</v>
      </c>
      <c r="U290">
        <f t="shared" si="18"/>
        <v>1.9139139139139139</v>
      </c>
      <c r="V290">
        <f t="shared" si="19"/>
        <v>557.6865165165168</v>
      </c>
    </row>
    <row r="291" spans="1:22" x14ac:dyDescent="0.25">
      <c r="A291">
        <v>3752</v>
      </c>
      <c r="B291" s="1">
        <v>44748</v>
      </c>
      <c r="C291" t="s">
        <v>60</v>
      </c>
      <c r="D291" t="s">
        <v>18</v>
      </c>
      <c r="E291" t="s">
        <v>32</v>
      </c>
      <c r="F291" t="s">
        <v>27</v>
      </c>
      <c r="G291" t="s">
        <v>21</v>
      </c>
      <c r="H291" t="s">
        <v>47</v>
      </c>
      <c r="I291" t="s">
        <v>23</v>
      </c>
      <c r="J291" t="s">
        <v>30</v>
      </c>
      <c r="K291" t="s">
        <v>25</v>
      </c>
      <c r="L291">
        <v>3</v>
      </c>
      <c r="M291">
        <v>1</v>
      </c>
      <c r="N291">
        <v>5</v>
      </c>
      <c r="O291">
        <v>1</v>
      </c>
      <c r="P291">
        <v>158.86000000000001</v>
      </c>
      <c r="Q291">
        <v>68</v>
      </c>
      <c r="S291">
        <f t="shared" si="16"/>
        <v>557.6865165165168</v>
      </c>
      <c r="T291">
        <f t="shared" si="17"/>
        <v>153</v>
      </c>
      <c r="U291">
        <f t="shared" si="18"/>
        <v>1.9139139139139139</v>
      </c>
      <c r="V291">
        <f t="shared" si="19"/>
        <v>557.6865165165168</v>
      </c>
    </row>
    <row r="292" spans="1:22" x14ac:dyDescent="0.25">
      <c r="A292">
        <v>3753</v>
      </c>
      <c r="B292" s="1">
        <v>43529</v>
      </c>
      <c r="C292" t="s">
        <v>43</v>
      </c>
      <c r="D292" t="s">
        <v>18</v>
      </c>
      <c r="E292" t="s">
        <v>28</v>
      </c>
      <c r="F292" t="s">
        <v>33</v>
      </c>
      <c r="G292" t="s">
        <v>21</v>
      </c>
      <c r="H292" t="s">
        <v>65</v>
      </c>
      <c r="I292" t="s">
        <v>23</v>
      </c>
      <c r="J292" t="s">
        <v>30</v>
      </c>
      <c r="K292" t="s">
        <v>25</v>
      </c>
      <c r="L292">
        <v>1</v>
      </c>
      <c r="M292">
        <v>3</v>
      </c>
      <c r="N292">
        <v>2</v>
      </c>
      <c r="O292">
        <v>1</v>
      </c>
      <c r="P292">
        <v>741.95</v>
      </c>
      <c r="Q292">
        <v>60</v>
      </c>
      <c r="S292">
        <f t="shared" si="16"/>
        <v>557.6865165165168</v>
      </c>
      <c r="T292">
        <f t="shared" si="17"/>
        <v>153</v>
      </c>
      <c r="U292">
        <f t="shared" si="18"/>
        <v>1.9139139139139139</v>
      </c>
      <c r="V292">
        <f t="shared" si="19"/>
        <v>557.6865165165168</v>
      </c>
    </row>
    <row r="293" spans="1:22" x14ac:dyDescent="0.25">
      <c r="A293">
        <v>3754</v>
      </c>
      <c r="B293" s="1">
        <v>43984</v>
      </c>
      <c r="C293" t="s">
        <v>49</v>
      </c>
      <c r="D293" t="s">
        <v>18</v>
      </c>
      <c r="E293" t="s">
        <v>32</v>
      </c>
      <c r="F293" t="s">
        <v>20</v>
      </c>
      <c r="G293" t="s">
        <v>21</v>
      </c>
      <c r="H293" t="s">
        <v>62</v>
      </c>
      <c r="I293" t="s">
        <v>23</v>
      </c>
      <c r="J293" t="s">
        <v>30</v>
      </c>
      <c r="K293" t="s">
        <v>25</v>
      </c>
      <c r="L293">
        <v>3</v>
      </c>
      <c r="M293">
        <v>3</v>
      </c>
      <c r="N293">
        <v>5</v>
      </c>
      <c r="O293">
        <v>4</v>
      </c>
      <c r="P293">
        <v>132.52000000000001</v>
      </c>
      <c r="Q293">
        <v>42</v>
      </c>
      <c r="S293">
        <f t="shared" si="16"/>
        <v>557.6865165165168</v>
      </c>
      <c r="T293">
        <f t="shared" si="17"/>
        <v>153</v>
      </c>
      <c r="U293">
        <f t="shared" si="18"/>
        <v>1.9139139139139139</v>
      </c>
      <c r="V293">
        <f t="shared" si="19"/>
        <v>557.6865165165168</v>
      </c>
    </row>
    <row r="294" spans="1:22" x14ac:dyDescent="0.25">
      <c r="A294">
        <v>3756</v>
      </c>
      <c r="B294" s="1">
        <v>44340</v>
      </c>
      <c r="C294" t="s">
        <v>40</v>
      </c>
      <c r="D294" t="s">
        <v>18</v>
      </c>
      <c r="E294" t="s">
        <v>32</v>
      </c>
      <c r="F294" t="s">
        <v>27</v>
      </c>
      <c r="G294" t="s">
        <v>21</v>
      </c>
      <c r="H294" t="s">
        <v>41</v>
      </c>
      <c r="I294" t="s">
        <v>23</v>
      </c>
      <c r="J294" t="s">
        <v>24</v>
      </c>
      <c r="K294" t="s">
        <v>25</v>
      </c>
      <c r="L294">
        <v>1</v>
      </c>
      <c r="M294">
        <v>5</v>
      </c>
      <c r="N294">
        <v>3</v>
      </c>
      <c r="O294">
        <v>4</v>
      </c>
      <c r="P294">
        <v>521.51</v>
      </c>
      <c r="Q294">
        <v>77</v>
      </c>
      <c r="S294">
        <f t="shared" si="16"/>
        <v>557.6865165165168</v>
      </c>
      <c r="T294">
        <f t="shared" si="17"/>
        <v>153</v>
      </c>
      <c r="U294">
        <f t="shared" si="18"/>
        <v>1.9139139139139139</v>
      </c>
      <c r="V294">
        <f t="shared" si="19"/>
        <v>557.6865165165168</v>
      </c>
    </row>
    <row r="295" spans="1:22" x14ac:dyDescent="0.25">
      <c r="A295">
        <v>3758</v>
      </c>
      <c r="B295" s="1">
        <v>44881</v>
      </c>
      <c r="C295" t="s">
        <v>52</v>
      </c>
      <c r="D295" t="s">
        <v>84</v>
      </c>
      <c r="E295" t="s">
        <v>19</v>
      </c>
      <c r="F295" t="s">
        <v>27</v>
      </c>
      <c r="G295" t="s">
        <v>21</v>
      </c>
      <c r="H295" t="s">
        <v>47</v>
      </c>
      <c r="I295" t="s">
        <v>23</v>
      </c>
      <c r="J295" t="s">
        <v>30</v>
      </c>
      <c r="K295" t="s">
        <v>25</v>
      </c>
      <c r="L295">
        <v>2</v>
      </c>
      <c r="M295">
        <v>1</v>
      </c>
      <c r="N295">
        <v>1</v>
      </c>
      <c r="O295">
        <v>4</v>
      </c>
      <c r="P295">
        <v>917.17</v>
      </c>
      <c r="Q295">
        <v>76</v>
      </c>
      <c r="S295">
        <f t="shared" si="16"/>
        <v>557.6865165165168</v>
      </c>
      <c r="T295">
        <f t="shared" si="17"/>
        <v>153</v>
      </c>
      <c r="U295">
        <f t="shared" si="18"/>
        <v>1.9139139139139139</v>
      </c>
      <c r="V295">
        <f t="shared" si="19"/>
        <v>557.6865165165168</v>
      </c>
    </row>
    <row r="296" spans="1:22" x14ac:dyDescent="0.25">
      <c r="A296">
        <v>3759</v>
      </c>
      <c r="B296" s="1">
        <v>44682</v>
      </c>
      <c r="C296" t="s">
        <v>26</v>
      </c>
      <c r="D296" t="s">
        <v>18</v>
      </c>
      <c r="E296" t="s">
        <v>19</v>
      </c>
      <c r="F296" t="s">
        <v>33</v>
      </c>
      <c r="G296" t="s">
        <v>21</v>
      </c>
      <c r="H296" t="s">
        <v>71</v>
      </c>
      <c r="I296" t="s">
        <v>23</v>
      </c>
      <c r="J296" t="s">
        <v>30</v>
      </c>
      <c r="K296" t="s">
        <v>25</v>
      </c>
      <c r="L296">
        <v>3</v>
      </c>
      <c r="M296">
        <v>4</v>
      </c>
      <c r="N296">
        <v>1</v>
      </c>
      <c r="O296">
        <v>2</v>
      </c>
      <c r="P296">
        <v>790.71</v>
      </c>
      <c r="Q296">
        <v>64</v>
      </c>
      <c r="S296">
        <f t="shared" si="16"/>
        <v>557.6865165165168</v>
      </c>
      <c r="T296">
        <f t="shared" si="17"/>
        <v>153</v>
      </c>
      <c r="U296">
        <f t="shared" si="18"/>
        <v>1.9139139139139139</v>
      </c>
      <c r="V296">
        <f t="shared" si="19"/>
        <v>557.6865165165168</v>
      </c>
    </row>
    <row r="297" spans="1:22" x14ac:dyDescent="0.25">
      <c r="A297">
        <v>3760</v>
      </c>
      <c r="B297" s="1">
        <v>44432</v>
      </c>
      <c r="C297" t="s">
        <v>54</v>
      </c>
      <c r="D297" t="s">
        <v>18</v>
      </c>
      <c r="E297" t="s">
        <v>32</v>
      </c>
      <c r="F297" t="s">
        <v>27</v>
      </c>
      <c r="G297" t="s">
        <v>21</v>
      </c>
      <c r="H297" t="s">
        <v>38</v>
      </c>
      <c r="I297" t="s">
        <v>23</v>
      </c>
      <c r="J297" t="s">
        <v>30</v>
      </c>
      <c r="K297" t="s">
        <v>25</v>
      </c>
      <c r="L297">
        <v>4</v>
      </c>
      <c r="M297">
        <v>3</v>
      </c>
      <c r="N297">
        <v>1</v>
      </c>
      <c r="O297">
        <v>1</v>
      </c>
      <c r="P297">
        <v>680.48</v>
      </c>
      <c r="Q297">
        <v>61</v>
      </c>
      <c r="S297">
        <f t="shared" si="16"/>
        <v>557.6865165165168</v>
      </c>
      <c r="T297">
        <f t="shared" si="17"/>
        <v>153</v>
      </c>
      <c r="U297">
        <f t="shared" si="18"/>
        <v>1.9139139139139139</v>
      </c>
      <c r="V297">
        <f t="shared" si="19"/>
        <v>557.6865165165168</v>
      </c>
    </row>
    <row r="298" spans="1:22" x14ac:dyDescent="0.25">
      <c r="A298">
        <v>3761</v>
      </c>
      <c r="B298" s="1">
        <v>45099</v>
      </c>
      <c r="C298" t="s">
        <v>17</v>
      </c>
      <c r="D298" t="s">
        <v>18</v>
      </c>
      <c r="E298" t="s">
        <v>19</v>
      </c>
      <c r="F298" t="s">
        <v>27</v>
      </c>
      <c r="G298" t="s">
        <v>21</v>
      </c>
      <c r="H298" t="s">
        <v>35</v>
      </c>
      <c r="I298" t="s">
        <v>23</v>
      </c>
      <c r="J298" t="s">
        <v>24</v>
      </c>
      <c r="K298" t="s">
        <v>25</v>
      </c>
      <c r="L298">
        <v>2</v>
      </c>
      <c r="M298">
        <v>4</v>
      </c>
      <c r="N298">
        <v>1</v>
      </c>
      <c r="O298">
        <v>1</v>
      </c>
      <c r="P298">
        <v>947.57</v>
      </c>
      <c r="Q298">
        <v>36</v>
      </c>
      <c r="S298">
        <f t="shared" si="16"/>
        <v>557.6865165165168</v>
      </c>
      <c r="T298">
        <f t="shared" si="17"/>
        <v>153</v>
      </c>
      <c r="U298">
        <f t="shared" si="18"/>
        <v>1.9139139139139139</v>
      </c>
      <c r="V298">
        <f t="shared" si="19"/>
        <v>557.6865165165168</v>
      </c>
    </row>
    <row r="299" spans="1:22" x14ac:dyDescent="0.25">
      <c r="A299">
        <v>3762</v>
      </c>
      <c r="B299" s="1">
        <v>44030</v>
      </c>
      <c r="C299" t="s">
        <v>52</v>
      </c>
      <c r="D299" t="s">
        <v>18</v>
      </c>
      <c r="E299" t="s">
        <v>28</v>
      </c>
      <c r="F299" t="s">
        <v>33</v>
      </c>
      <c r="G299" t="s">
        <v>21</v>
      </c>
      <c r="H299" t="s">
        <v>47</v>
      </c>
      <c r="I299" t="s">
        <v>23</v>
      </c>
      <c r="J299" t="s">
        <v>24</v>
      </c>
      <c r="K299" t="s">
        <v>25</v>
      </c>
      <c r="L299">
        <v>2</v>
      </c>
      <c r="M299">
        <v>1</v>
      </c>
      <c r="N299">
        <v>1</v>
      </c>
      <c r="O299">
        <v>2</v>
      </c>
      <c r="P299">
        <v>594.61</v>
      </c>
      <c r="Q299">
        <v>71</v>
      </c>
      <c r="S299">
        <f t="shared" si="16"/>
        <v>557.6865165165168</v>
      </c>
      <c r="T299">
        <f t="shared" si="17"/>
        <v>153</v>
      </c>
      <c r="U299">
        <f t="shared" si="18"/>
        <v>1.9139139139139139</v>
      </c>
      <c r="V299">
        <f t="shared" si="19"/>
        <v>557.6865165165168</v>
      </c>
    </row>
    <row r="300" spans="1:22" x14ac:dyDescent="0.25">
      <c r="A300">
        <v>3763</v>
      </c>
      <c r="B300" s="1">
        <v>44938</v>
      </c>
      <c r="C300" t="s">
        <v>26</v>
      </c>
      <c r="D300" t="s">
        <v>84</v>
      </c>
      <c r="E300" t="s">
        <v>32</v>
      </c>
      <c r="F300" t="s">
        <v>33</v>
      </c>
      <c r="G300" t="s">
        <v>21</v>
      </c>
      <c r="H300" t="s">
        <v>22</v>
      </c>
      <c r="I300" t="s">
        <v>23</v>
      </c>
      <c r="J300" t="s">
        <v>24</v>
      </c>
      <c r="K300" t="s">
        <v>25</v>
      </c>
      <c r="L300">
        <v>3</v>
      </c>
      <c r="M300">
        <v>2</v>
      </c>
      <c r="N300">
        <v>5</v>
      </c>
      <c r="O300">
        <v>1</v>
      </c>
      <c r="P300">
        <v>775.59</v>
      </c>
      <c r="Q300">
        <v>73</v>
      </c>
      <c r="S300">
        <f t="shared" si="16"/>
        <v>557.6865165165168</v>
      </c>
      <c r="T300">
        <f t="shared" si="17"/>
        <v>153</v>
      </c>
      <c r="U300">
        <f t="shared" si="18"/>
        <v>1.9139139139139139</v>
      </c>
      <c r="V300">
        <f t="shared" si="19"/>
        <v>557.6865165165168</v>
      </c>
    </row>
    <row r="301" spans="1:22" x14ac:dyDescent="0.25">
      <c r="A301">
        <v>3764</v>
      </c>
      <c r="B301" s="1">
        <v>44608</v>
      </c>
      <c r="C301" t="s">
        <v>54</v>
      </c>
      <c r="D301" t="s">
        <v>18</v>
      </c>
      <c r="E301" t="s">
        <v>32</v>
      </c>
      <c r="F301" t="s">
        <v>33</v>
      </c>
      <c r="G301" t="s">
        <v>21</v>
      </c>
      <c r="H301" t="s">
        <v>35</v>
      </c>
      <c r="I301" t="s">
        <v>23</v>
      </c>
      <c r="J301" t="s">
        <v>24</v>
      </c>
      <c r="K301" t="s">
        <v>25</v>
      </c>
      <c r="L301">
        <v>2</v>
      </c>
      <c r="M301">
        <v>1</v>
      </c>
      <c r="N301">
        <v>5</v>
      </c>
      <c r="O301">
        <v>2</v>
      </c>
      <c r="P301">
        <v>239.16</v>
      </c>
      <c r="Q301">
        <v>27</v>
      </c>
      <c r="S301">
        <f t="shared" si="16"/>
        <v>557.6865165165168</v>
      </c>
      <c r="T301">
        <f t="shared" si="17"/>
        <v>153</v>
      </c>
      <c r="U301">
        <f t="shared" si="18"/>
        <v>1.9139139139139139</v>
      </c>
      <c r="V301">
        <f t="shared" si="19"/>
        <v>557.6865165165168</v>
      </c>
    </row>
    <row r="302" spans="1:22" x14ac:dyDescent="0.25">
      <c r="A302">
        <v>3765</v>
      </c>
      <c r="B302" s="1">
        <v>44806</v>
      </c>
      <c r="C302" t="s">
        <v>37</v>
      </c>
      <c r="D302" t="s">
        <v>18</v>
      </c>
      <c r="E302" t="s">
        <v>28</v>
      </c>
      <c r="F302" t="s">
        <v>27</v>
      </c>
      <c r="G302" t="s">
        <v>21</v>
      </c>
      <c r="H302" t="s">
        <v>71</v>
      </c>
      <c r="I302" t="s">
        <v>23</v>
      </c>
      <c r="J302" t="s">
        <v>24</v>
      </c>
      <c r="K302" t="s">
        <v>25</v>
      </c>
      <c r="L302">
        <v>1</v>
      </c>
      <c r="M302">
        <v>1</v>
      </c>
      <c r="N302">
        <v>2</v>
      </c>
      <c r="O302">
        <v>5</v>
      </c>
      <c r="P302">
        <v>275.94</v>
      </c>
      <c r="Q302">
        <v>53</v>
      </c>
      <c r="S302">
        <f t="shared" si="16"/>
        <v>557.6865165165168</v>
      </c>
      <c r="T302">
        <f t="shared" si="17"/>
        <v>153</v>
      </c>
      <c r="U302">
        <f t="shared" si="18"/>
        <v>1.9139139139139139</v>
      </c>
      <c r="V302">
        <f t="shared" si="19"/>
        <v>557.6865165165168</v>
      </c>
    </row>
    <row r="303" spans="1:22" x14ac:dyDescent="0.25">
      <c r="A303">
        <v>3766</v>
      </c>
      <c r="B303" s="1">
        <v>43498</v>
      </c>
      <c r="C303" t="s">
        <v>60</v>
      </c>
      <c r="D303" t="s">
        <v>18</v>
      </c>
      <c r="E303" t="s">
        <v>28</v>
      </c>
      <c r="F303" t="s">
        <v>27</v>
      </c>
      <c r="G303" t="s">
        <v>21</v>
      </c>
      <c r="H303" t="s">
        <v>71</v>
      </c>
      <c r="I303" t="s">
        <v>23</v>
      </c>
      <c r="J303" t="s">
        <v>24</v>
      </c>
      <c r="K303" t="s">
        <v>25</v>
      </c>
      <c r="L303">
        <v>4</v>
      </c>
      <c r="M303">
        <v>4</v>
      </c>
      <c r="N303">
        <v>5</v>
      </c>
      <c r="O303">
        <v>4</v>
      </c>
      <c r="P303">
        <v>466.32</v>
      </c>
      <c r="Q303">
        <v>76</v>
      </c>
      <c r="S303">
        <f t="shared" si="16"/>
        <v>557.6865165165168</v>
      </c>
      <c r="T303">
        <f t="shared" si="17"/>
        <v>153</v>
      </c>
      <c r="U303">
        <f t="shared" si="18"/>
        <v>1.9139139139139139</v>
      </c>
      <c r="V303">
        <f t="shared" si="19"/>
        <v>557.6865165165168</v>
      </c>
    </row>
    <row r="304" spans="1:22" x14ac:dyDescent="0.25">
      <c r="A304">
        <v>3767</v>
      </c>
      <c r="B304" s="1">
        <v>44434</v>
      </c>
      <c r="C304" t="s">
        <v>37</v>
      </c>
      <c r="D304" t="s">
        <v>84</v>
      </c>
      <c r="E304" t="s">
        <v>32</v>
      </c>
      <c r="F304" t="s">
        <v>33</v>
      </c>
      <c r="G304" t="s">
        <v>21</v>
      </c>
      <c r="H304" t="s">
        <v>38</v>
      </c>
      <c r="I304" t="s">
        <v>23</v>
      </c>
      <c r="J304" t="s">
        <v>24</v>
      </c>
      <c r="K304" t="s">
        <v>25</v>
      </c>
      <c r="L304">
        <v>2</v>
      </c>
      <c r="M304">
        <v>5</v>
      </c>
      <c r="N304">
        <v>3</v>
      </c>
      <c r="O304">
        <v>4</v>
      </c>
      <c r="P304">
        <v>840.46</v>
      </c>
      <c r="Q304">
        <v>28</v>
      </c>
      <c r="S304">
        <f t="shared" si="16"/>
        <v>557.6865165165168</v>
      </c>
      <c r="T304">
        <f t="shared" si="17"/>
        <v>153</v>
      </c>
      <c r="U304">
        <f t="shared" si="18"/>
        <v>1.9139139139139139</v>
      </c>
      <c r="V304">
        <f t="shared" si="19"/>
        <v>557.6865165165168</v>
      </c>
    </row>
    <row r="305" spans="1:22" x14ac:dyDescent="0.25">
      <c r="A305">
        <v>3768</v>
      </c>
      <c r="B305" s="1">
        <v>44196</v>
      </c>
      <c r="C305" t="s">
        <v>52</v>
      </c>
      <c r="D305" t="s">
        <v>18</v>
      </c>
      <c r="E305" t="s">
        <v>19</v>
      </c>
      <c r="F305" t="s">
        <v>33</v>
      </c>
      <c r="G305" t="s">
        <v>21</v>
      </c>
      <c r="H305" t="s">
        <v>68</v>
      </c>
      <c r="I305" t="s">
        <v>23</v>
      </c>
      <c r="J305" t="s">
        <v>24</v>
      </c>
      <c r="K305" t="s">
        <v>25</v>
      </c>
      <c r="L305">
        <v>2</v>
      </c>
      <c r="M305">
        <v>4</v>
      </c>
      <c r="N305">
        <v>1</v>
      </c>
      <c r="O305">
        <v>3</v>
      </c>
      <c r="P305">
        <v>145.76</v>
      </c>
      <c r="Q305">
        <v>29</v>
      </c>
      <c r="S305">
        <f t="shared" si="16"/>
        <v>557.6865165165168</v>
      </c>
      <c r="T305">
        <f t="shared" si="17"/>
        <v>153</v>
      </c>
      <c r="U305">
        <f t="shared" si="18"/>
        <v>1.9139139139139139</v>
      </c>
      <c r="V305">
        <f t="shared" si="19"/>
        <v>557.6865165165168</v>
      </c>
    </row>
    <row r="306" spans="1:22" x14ac:dyDescent="0.25">
      <c r="A306">
        <v>3769</v>
      </c>
      <c r="B306" s="1">
        <v>44177</v>
      </c>
      <c r="C306" t="s">
        <v>60</v>
      </c>
      <c r="D306" t="s">
        <v>18</v>
      </c>
      <c r="E306" t="s">
        <v>32</v>
      </c>
      <c r="F306" t="s">
        <v>27</v>
      </c>
      <c r="G306" t="s">
        <v>21</v>
      </c>
      <c r="H306" t="s">
        <v>63</v>
      </c>
      <c r="I306" t="s">
        <v>23</v>
      </c>
      <c r="J306" t="s">
        <v>30</v>
      </c>
      <c r="K306" t="s">
        <v>25</v>
      </c>
      <c r="L306">
        <v>3</v>
      </c>
      <c r="M306">
        <v>5</v>
      </c>
      <c r="N306">
        <v>3</v>
      </c>
      <c r="O306">
        <v>2</v>
      </c>
      <c r="P306">
        <v>647.70000000000005</v>
      </c>
      <c r="Q306">
        <v>68</v>
      </c>
      <c r="S306">
        <f t="shared" si="16"/>
        <v>557.6865165165168</v>
      </c>
      <c r="T306">
        <f t="shared" si="17"/>
        <v>153</v>
      </c>
      <c r="U306">
        <f t="shared" si="18"/>
        <v>1.9139139139139139</v>
      </c>
      <c r="V306">
        <f t="shared" si="19"/>
        <v>557.6865165165168</v>
      </c>
    </row>
    <row r="307" spans="1:22" x14ac:dyDescent="0.25">
      <c r="A307">
        <v>3770</v>
      </c>
      <c r="B307" s="1">
        <v>44574</v>
      </c>
      <c r="C307" t="s">
        <v>31</v>
      </c>
      <c r="D307" t="s">
        <v>84</v>
      </c>
      <c r="E307" t="s">
        <v>19</v>
      </c>
      <c r="F307" t="s">
        <v>33</v>
      </c>
      <c r="G307" t="s">
        <v>21</v>
      </c>
      <c r="H307" t="s">
        <v>29</v>
      </c>
      <c r="I307" t="s">
        <v>23</v>
      </c>
      <c r="J307" t="s">
        <v>30</v>
      </c>
      <c r="K307" t="s">
        <v>25</v>
      </c>
      <c r="L307">
        <v>1</v>
      </c>
      <c r="M307">
        <v>3</v>
      </c>
      <c r="N307">
        <v>3</v>
      </c>
      <c r="O307">
        <v>2</v>
      </c>
      <c r="P307">
        <v>536.20000000000005</v>
      </c>
      <c r="Q307">
        <v>27</v>
      </c>
      <c r="S307">
        <f t="shared" si="16"/>
        <v>557.6865165165168</v>
      </c>
      <c r="T307">
        <f t="shared" si="17"/>
        <v>153</v>
      </c>
      <c r="U307">
        <f t="shared" si="18"/>
        <v>1.9139139139139139</v>
      </c>
      <c r="V307">
        <f t="shared" si="19"/>
        <v>557.6865165165168</v>
      </c>
    </row>
    <row r="308" spans="1:22" x14ac:dyDescent="0.25">
      <c r="A308">
        <v>3771</v>
      </c>
      <c r="B308" s="1">
        <v>44220</v>
      </c>
      <c r="C308" t="s">
        <v>49</v>
      </c>
      <c r="D308" t="s">
        <v>84</v>
      </c>
      <c r="E308" t="s">
        <v>28</v>
      </c>
      <c r="F308" t="s">
        <v>33</v>
      </c>
      <c r="G308" t="s">
        <v>21</v>
      </c>
      <c r="H308" t="s">
        <v>38</v>
      </c>
      <c r="I308" t="s">
        <v>23</v>
      </c>
      <c r="J308" t="s">
        <v>30</v>
      </c>
      <c r="K308" t="s">
        <v>25</v>
      </c>
      <c r="L308">
        <v>2</v>
      </c>
      <c r="M308">
        <v>2</v>
      </c>
      <c r="N308">
        <v>4</v>
      </c>
      <c r="O308">
        <v>5</v>
      </c>
      <c r="P308">
        <v>769.97</v>
      </c>
      <c r="Q308">
        <v>40</v>
      </c>
      <c r="S308">
        <f t="shared" si="16"/>
        <v>557.6865165165168</v>
      </c>
      <c r="T308">
        <f t="shared" si="17"/>
        <v>153</v>
      </c>
      <c r="U308">
        <f t="shared" si="18"/>
        <v>1.9139139139139139</v>
      </c>
      <c r="V308">
        <f t="shared" si="19"/>
        <v>557.6865165165168</v>
      </c>
    </row>
    <row r="309" spans="1:22" x14ac:dyDescent="0.25">
      <c r="A309">
        <v>3772</v>
      </c>
      <c r="B309" s="1">
        <v>44600</v>
      </c>
      <c r="C309" t="s">
        <v>54</v>
      </c>
      <c r="D309" t="s">
        <v>18</v>
      </c>
      <c r="E309" t="s">
        <v>32</v>
      </c>
      <c r="F309" t="s">
        <v>27</v>
      </c>
      <c r="G309" t="s">
        <v>21</v>
      </c>
      <c r="H309" t="s">
        <v>47</v>
      </c>
      <c r="I309" t="s">
        <v>23</v>
      </c>
      <c r="J309" t="s">
        <v>24</v>
      </c>
      <c r="K309" t="s">
        <v>25</v>
      </c>
      <c r="L309">
        <v>2</v>
      </c>
      <c r="M309">
        <v>5</v>
      </c>
      <c r="N309">
        <v>1</v>
      </c>
      <c r="O309">
        <v>1</v>
      </c>
      <c r="P309">
        <v>894.66</v>
      </c>
      <c r="Q309">
        <v>56</v>
      </c>
      <c r="S309">
        <f t="shared" si="16"/>
        <v>557.6865165165168</v>
      </c>
      <c r="T309">
        <f t="shared" si="17"/>
        <v>153</v>
      </c>
      <c r="U309">
        <f t="shared" si="18"/>
        <v>1.9139139139139139</v>
      </c>
      <c r="V309">
        <f t="shared" si="19"/>
        <v>557.6865165165168</v>
      </c>
    </row>
    <row r="310" spans="1:22" x14ac:dyDescent="0.25">
      <c r="A310">
        <v>3773</v>
      </c>
      <c r="B310" s="1">
        <v>44115</v>
      </c>
      <c r="C310" t="s">
        <v>26</v>
      </c>
      <c r="D310" t="s">
        <v>84</v>
      </c>
      <c r="E310" t="s">
        <v>28</v>
      </c>
      <c r="F310" t="s">
        <v>27</v>
      </c>
      <c r="G310" t="s">
        <v>21</v>
      </c>
      <c r="H310" t="s">
        <v>47</v>
      </c>
      <c r="I310" t="s">
        <v>23</v>
      </c>
      <c r="J310" t="s">
        <v>24</v>
      </c>
      <c r="K310" t="s">
        <v>25</v>
      </c>
      <c r="L310">
        <v>1</v>
      </c>
      <c r="M310">
        <v>5</v>
      </c>
      <c r="N310">
        <v>2</v>
      </c>
      <c r="O310">
        <v>2</v>
      </c>
      <c r="P310">
        <v>374.02</v>
      </c>
      <c r="Q310">
        <v>48</v>
      </c>
      <c r="S310">
        <f t="shared" si="16"/>
        <v>557.6865165165168</v>
      </c>
      <c r="T310">
        <f t="shared" si="17"/>
        <v>153</v>
      </c>
      <c r="U310">
        <f t="shared" si="18"/>
        <v>1.9139139139139139</v>
      </c>
      <c r="V310">
        <f t="shared" si="19"/>
        <v>557.6865165165168</v>
      </c>
    </row>
    <row r="311" spans="1:22" x14ac:dyDescent="0.25">
      <c r="A311">
        <v>3774</v>
      </c>
      <c r="B311" s="1">
        <v>43636</v>
      </c>
      <c r="C311" t="s">
        <v>17</v>
      </c>
      <c r="D311" t="s">
        <v>18</v>
      </c>
      <c r="E311" t="s">
        <v>28</v>
      </c>
      <c r="F311" t="s">
        <v>33</v>
      </c>
      <c r="G311" t="s">
        <v>21</v>
      </c>
      <c r="H311" t="s">
        <v>47</v>
      </c>
      <c r="I311" t="s">
        <v>23</v>
      </c>
      <c r="J311" t="s">
        <v>30</v>
      </c>
      <c r="K311" t="s">
        <v>25</v>
      </c>
      <c r="L311">
        <v>5</v>
      </c>
      <c r="M311">
        <v>3</v>
      </c>
      <c r="N311">
        <v>1</v>
      </c>
      <c r="O311">
        <v>5</v>
      </c>
      <c r="P311">
        <v>569.41999999999996</v>
      </c>
      <c r="Q311">
        <v>21</v>
      </c>
      <c r="S311">
        <f t="shared" si="16"/>
        <v>557.6865165165168</v>
      </c>
      <c r="T311">
        <f t="shared" si="17"/>
        <v>153</v>
      </c>
      <c r="U311">
        <f t="shared" si="18"/>
        <v>1.9139139139139139</v>
      </c>
      <c r="V311">
        <f t="shared" si="19"/>
        <v>557.6865165165168</v>
      </c>
    </row>
    <row r="312" spans="1:22" x14ac:dyDescent="0.25">
      <c r="A312">
        <v>3775</v>
      </c>
      <c r="B312" s="1">
        <v>44390</v>
      </c>
      <c r="C312" t="s">
        <v>40</v>
      </c>
      <c r="D312" t="s">
        <v>18</v>
      </c>
      <c r="E312" t="s">
        <v>19</v>
      </c>
      <c r="F312" t="s">
        <v>33</v>
      </c>
      <c r="G312" t="s">
        <v>21</v>
      </c>
      <c r="H312" t="s">
        <v>41</v>
      </c>
      <c r="I312" t="s">
        <v>23</v>
      </c>
      <c r="J312" t="s">
        <v>30</v>
      </c>
      <c r="K312" t="s">
        <v>25</v>
      </c>
      <c r="L312">
        <v>2</v>
      </c>
      <c r="M312">
        <v>1</v>
      </c>
      <c r="N312">
        <v>3</v>
      </c>
      <c r="O312">
        <v>1</v>
      </c>
      <c r="P312">
        <v>172.82</v>
      </c>
      <c r="Q312">
        <v>41</v>
      </c>
      <c r="S312">
        <f t="shared" si="16"/>
        <v>557.6865165165168</v>
      </c>
      <c r="T312">
        <f t="shared" si="17"/>
        <v>153</v>
      </c>
      <c r="U312">
        <f t="shared" si="18"/>
        <v>1.9139139139139139</v>
      </c>
      <c r="V312">
        <f t="shared" si="19"/>
        <v>557.6865165165168</v>
      </c>
    </row>
    <row r="313" spans="1:22" x14ac:dyDescent="0.25">
      <c r="A313">
        <v>3776</v>
      </c>
      <c r="B313" s="1">
        <v>44483</v>
      </c>
      <c r="C313" t="s">
        <v>43</v>
      </c>
      <c r="D313" t="s">
        <v>18</v>
      </c>
      <c r="E313" t="s">
        <v>19</v>
      </c>
      <c r="F313" t="s">
        <v>27</v>
      </c>
      <c r="G313" t="s">
        <v>21</v>
      </c>
      <c r="H313" t="s">
        <v>44</v>
      </c>
      <c r="I313" t="s">
        <v>23</v>
      </c>
      <c r="J313" t="s">
        <v>30</v>
      </c>
      <c r="K313" t="s">
        <v>25</v>
      </c>
      <c r="L313">
        <v>4</v>
      </c>
      <c r="M313">
        <v>1</v>
      </c>
      <c r="N313">
        <v>5</v>
      </c>
      <c r="O313">
        <v>4</v>
      </c>
      <c r="P313">
        <v>585.84</v>
      </c>
      <c r="Q313">
        <v>41</v>
      </c>
      <c r="S313">
        <f t="shared" si="16"/>
        <v>557.6865165165168</v>
      </c>
      <c r="T313">
        <f t="shared" si="17"/>
        <v>153</v>
      </c>
      <c r="U313">
        <f t="shared" si="18"/>
        <v>1.9139139139139139</v>
      </c>
      <c r="V313">
        <f t="shared" si="19"/>
        <v>557.6865165165168</v>
      </c>
    </row>
    <row r="314" spans="1:22" x14ac:dyDescent="0.25">
      <c r="A314">
        <v>3777</v>
      </c>
      <c r="B314" s="1">
        <v>44509</v>
      </c>
      <c r="C314" t="s">
        <v>37</v>
      </c>
      <c r="D314" t="s">
        <v>18</v>
      </c>
      <c r="E314" t="s">
        <v>19</v>
      </c>
      <c r="F314" t="s">
        <v>20</v>
      </c>
      <c r="G314" t="s">
        <v>21</v>
      </c>
      <c r="H314" t="s">
        <v>29</v>
      </c>
      <c r="I314" t="s">
        <v>23</v>
      </c>
      <c r="J314" t="s">
        <v>30</v>
      </c>
      <c r="K314" t="s">
        <v>25</v>
      </c>
      <c r="L314">
        <v>4</v>
      </c>
      <c r="M314">
        <v>3</v>
      </c>
      <c r="N314">
        <v>2</v>
      </c>
      <c r="O314">
        <v>1</v>
      </c>
      <c r="P314">
        <v>759.38</v>
      </c>
      <c r="Q314">
        <v>55</v>
      </c>
      <c r="S314">
        <f t="shared" si="16"/>
        <v>557.6865165165168</v>
      </c>
      <c r="T314">
        <f t="shared" si="17"/>
        <v>153</v>
      </c>
      <c r="U314">
        <f t="shared" si="18"/>
        <v>1.9139139139139139</v>
      </c>
      <c r="V314">
        <f t="shared" si="19"/>
        <v>557.6865165165168</v>
      </c>
    </row>
    <row r="315" spans="1:22" x14ac:dyDescent="0.25">
      <c r="A315">
        <v>3778</v>
      </c>
      <c r="B315" s="1">
        <v>45018</v>
      </c>
      <c r="C315" t="s">
        <v>52</v>
      </c>
      <c r="D315" t="s">
        <v>18</v>
      </c>
      <c r="E315" t="s">
        <v>32</v>
      </c>
      <c r="F315" t="s">
        <v>27</v>
      </c>
      <c r="G315" t="s">
        <v>21</v>
      </c>
      <c r="H315" t="s">
        <v>67</v>
      </c>
      <c r="I315" t="s">
        <v>23</v>
      </c>
      <c r="J315" t="s">
        <v>30</v>
      </c>
      <c r="K315" t="s">
        <v>25</v>
      </c>
      <c r="L315">
        <v>1</v>
      </c>
      <c r="M315">
        <v>5</v>
      </c>
      <c r="N315">
        <v>3</v>
      </c>
      <c r="O315">
        <v>5</v>
      </c>
      <c r="P315">
        <v>341.74</v>
      </c>
      <c r="Q315">
        <v>31</v>
      </c>
      <c r="S315">
        <f t="shared" si="16"/>
        <v>557.6865165165168</v>
      </c>
      <c r="T315">
        <f t="shared" si="17"/>
        <v>153</v>
      </c>
      <c r="U315">
        <f t="shared" si="18"/>
        <v>1.9139139139139139</v>
      </c>
      <c r="V315">
        <f t="shared" si="19"/>
        <v>557.6865165165168</v>
      </c>
    </row>
    <row r="316" spans="1:22" x14ac:dyDescent="0.25">
      <c r="A316">
        <v>3782</v>
      </c>
      <c r="B316" s="1">
        <v>43533</v>
      </c>
      <c r="C316" t="s">
        <v>54</v>
      </c>
      <c r="D316" t="s">
        <v>84</v>
      </c>
      <c r="E316" t="s">
        <v>32</v>
      </c>
      <c r="F316" t="s">
        <v>33</v>
      </c>
      <c r="G316" t="s">
        <v>21</v>
      </c>
      <c r="H316" t="s">
        <v>41</v>
      </c>
      <c r="I316" t="s">
        <v>23</v>
      </c>
      <c r="J316" t="s">
        <v>30</v>
      </c>
      <c r="K316" t="s">
        <v>25</v>
      </c>
      <c r="L316">
        <v>1</v>
      </c>
      <c r="M316">
        <v>5</v>
      </c>
      <c r="N316">
        <v>1</v>
      </c>
      <c r="O316">
        <v>5</v>
      </c>
      <c r="P316">
        <v>506.4</v>
      </c>
      <c r="Q316">
        <v>35</v>
      </c>
      <c r="S316">
        <f t="shared" si="16"/>
        <v>557.6865165165168</v>
      </c>
      <c r="T316">
        <f t="shared" si="17"/>
        <v>153</v>
      </c>
      <c r="U316">
        <f t="shared" si="18"/>
        <v>1.9139139139139139</v>
      </c>
      <c r="V316">
        <f t="shared" si="19"/>
        <v>557.6865165165168</v>
      </c>
    </row>
    <row r="317" spans="1:22" x14ac:dyDescent="0.25">
      <c r="A317">
        <v>3783</v>
      </c>
      <c r="B317" s="1">
        <v>43960</v>
      </c>
      <c r="C317" t="s">
        <v>26</v>
      </c>
      <c r="D317" t="s">
        <v>18</v>
      </c>
      <c r="E317" t="s">
        <v>19</v>
      </c>
      <c r="F317" t="s">
        <v>27</v>
      </c>
      <c r="G317" t="s">
        <v>21</v>
      </c>
      <c r="H317" t="s">
        <v>63</v>
      </c>
      <c r="I317" t="s">
        <v>23</v>
      </c>
      <c r="J317" t="s">
        <v>30</v>
      </c>
      <c r="K317" t="s">
        <v>25</v>
      </c>
      <c r="L317">
        <v>3</v>
      </c>
      <c r="M317">
        <v>4</v>
      </c>
      <c r="N317">
        <v>3</v>
      </c>
      <c r="O317">
        <v>5</v>
      </c>
      <c r="P317">
        <v>851.24</v>
      </c>
      <c r="Q317">
        <v>58</v>
      </c>
      <c r="S317">
        <f t="shared" si="16"/>
        <v>557.6865165165168</v>
      </c>
      <c r="T317">
        <f t="shared" si="17"/>
        <v>153</v>
      </c>
      <c r="U317">
        <f t="shared" si="18"/>
        <v>1.9139139139139139</v>
      </c>
      <c r="V317">
        <f t="shared" si="19"/>
        <v>557.6865165165168</v>
      </c>
    </row>
    <row r="318" spans="1:22" x14ac:dyDescent="0.25">
      <c r="A318">
        <v>3784</v>
      </c>
      <c r="B318" s="1">
        <v>44787</v>
      </c>
      <c r="C318" t="s">
        <v>17</v>
      </c>
      <c r="D318" t="s">
        <v>18</v>
      </c>
      <c r="E318" t="s">
        <v>19</v>
      </c>
      <c r="F318" t="s">
        <v>27</v>
      </c>
      <c r="G318" t="s">
        <v>21</v>
      </c>
      <c r="H318" t="s">
        <v>56</v>
      </c>
      <c r="I318" t="s">
        <v>23</v>
      </c>
      <c r="J318" t="s">
        <v>24</v>
      </c>
      <c r="K318" t="s">
        <v>25</v>
      </c>
      <c r="L318">
        <v>3</v>
      </c>
      <c r="M318">
        <v>3</v>
      </c>
      <c r="N318">
        <v>2</v>
      </c>
      <c r="O318">
        <v>2</v>
      </c>
      <c r="P318">
        <v>671.12</v>
      </c>
      <c r="Q318">
        <v>24</v>
      </c>
      <c r="S318">
        <f t="shared" si="16"/>
        <v>557.6865165165168</v>
      </c>
      <c r="T318">
        <f t="shared" si="17"/>
        <v>153</v>
      </c>
      <c r="U318">
        <f t="shared" si="18"/>
        <v>1.9139139139139139</v>
      </c>
      <c r="V318">
        <f t="shared" si="19"/>
        <v>557.6865165165168</v>
      </c>
    </row>
    <row r="319" spans="1:22" x14ac:dyDescent="0.25">
      <c r="A319">
        <v>3785</v>
      </c>
      <c r="B319" s="1">
        <v>44579</v>
      </c>
      <c r="C319" t="s">
        <v>31</v>
      </c>
      <c r="D319" t="s">
        <v>18</v>
      </c>
      <c r="E319" t="s">
        <v>19</v>
      </c>
      <c r="F319" t="s">
        <v>20</v>
      </c>
      <c r="G319" t="s">
        <v>21</v>
      </c>
      <c r="H319" t="s">
        <v>62</v>
      </c>
      <c r="I319" t="s">
        <v>23</v>
      </c>
      <c r="J319" t="s">
        <v>24</v>
      </c>
      <c r="K319" t="s">
        <v>25</v>
      </c>
      <c r="L319">
        <v>3</v>
      </c>
      <c r="M319">
        <v>2</v>
      </c>
      <c r="N319">
        <v>2</v>
      </c>
      <c r="O319">
        <v>1</v>
      </c>
      <c r="P319">
        <v>257.8</v>
      </c>
      <c r="Q319">
        <v>45</v>
      </c>
      <c r="S319">
        <f t="shared" si="16"/>
        <v>557.6865165165168</v>
      </c>
      <c r="T319">
        <f t="shared" si="17"/>
        <v>153</v>
      </c>
      <c r="U319">
        <f t="shared" si="18"/>
        <v>1.9139139139139139</v>
      </c>
      <c r="V319">
        <f t="shared" si="19"/>
        <v>557.6865165165168</v>
      </c>
    </row>
    <row r="320" spans="1:22" x14ac:dyDescent="0.25">
      <c r="A320">
        <v>3786</v>
      </c>
      <c r="B320" s="1">
        <v>44369</v>
      </c>
      <c r="C320" t="s">
        <v>60</v>
      </c>
      <c r="D320" t="s">
        <v>84</v>
      </c>
      <c r="E320" t="s">
        <v>32</v>
      </c>
      <c r="F320" t="s">
        <v>27</v>
      </c>
      <c r="G320" t="s">
        <v>21</v>
      </c>
      <c r="H320" t="s">
        <v>41</v>
      </c>
      <c r="I320" t="s">
        <v>23</v>
      </c>
      <c r="J320" t="s">
        <v>24</v>
      </c>
      <c r="K320" t="s">
        <v>25</v>
      </c>
      <c r="L320">
        <v>3</v>
      </c>
      <c r="M320">
        <v>4</v>
      </c>
      <c r="N320">
        <v>2</v>
      </c>
      <c r="O320">
        <v>4</v>
      </c>
      <c r="P320">
        <v>280.06</v>
      </c>
      <c r="Q320">
        <v>59</v>
      </c>
      <c r="S320">
        <f t="shared" si="16"/>
        <v>557.6865165165168</v>
      </c>
      <c r="T320">
        <f t="shared" si="17"/>
        <v>153</v>
      </c>
      <c r="U320">
        <f t="shared" si="18"/>
        <v>1.9139139139139139</v>
      </c>
      <c r="V320">
        <f t="shared" si="19"/>
        <v>557.6865165165168</v>
      </c>
    </row>
    <row r="321" spans="1:22" x14ac:dyDescent="0.25">
      <c r="A321">
        <v>3787</v>
      </c>
      <c r="B321" s="1">
        <v>44945</v>
      </c>
      <c r="C321" t="s">
        <v>52</v>
      </c>
      <c r="D321" t="s">
        <v>84</v>
      </c>
      <c r="E321" t="s">
        <v>32</v>
      </c>
      <c r="F321" t="s">
        <v>20</v>
      </c>
      <c r="G321" t="s">
        <v>21</v>
      </c>
      <c r="H321" t="s">
        <v>35</v>
      </c>
      <c r="I321" t="s">
        <v>23</v>
      </c>
      <c r="J321" t="s">
        <v>24</v>
      </c>
      <c r="K321" t="s">
        <v>25</v>
      </c>
      <c r="L321">
        <v>1</v>
      </c>
      <c r="M321">
        <v>2</v>
      </c>
      <c r="N321">
        <v>1</v>
      </c>
      <c r="O321">
        <v>4</v>
      </c>
      <c r="P321">
        <v>140.03</v>
      </c>
      <c r="Q321">
        <v>51</v>
      </c>
      <c r="S321">
        <f t="shared" si="16"/>
        <v>557.6865165165168</v>
      </c>
      <c r="T321">
        <f t="shared" si="17"/>
        <v>153</v>
      </c>
      <c r="U321">
        <f t="shared" si="18"/>
        <v>1.9139139139139139</v>
      </c>
      <c r="V321">
        <f t="shared" si="19"/>
        <v>557.6865165165168</v>
      </c>
    </row>
    <row r="322" spans="1:22" x14ac:dyDescent="0.25">
      <c r="A322">
        <v>3788</v>
      </c>
      <c r="B322" s="1">
        <v>45063</v>
      </c>
      <c r="C322" t="s">
        <v>37</v>
      </c>
      <c r="D322" t="s">
        <v>84</v>
      </c>
      <c r="E322" t="s">
        <v>28</v>
      </c>
      <c r="F322" t="s">
        <v>27</v>
      </c>
      <c r="G322" t="s">
        <v>21</v>
      </c>
      <c r="H322" t="s">
        <v>41</v>
      </c>
      <c r="I322" t="s">
        <v>23</v>
      </c>
      <c r="J322" t="s">
        <v>24</v>
      </c>
      <c r="K322" t="s">
        <v>25</v>
      </c>
      <c r="L322">
        <v>3</v>
      </c>
      <c r="M322">
        <v>4</v>
      </c>
      <c r="N322">
        <v>2</v>
      </c>
      <c r="O322">
        <v>2</v>
      </c>
      <c r="P322">
        <v>796.95</v>
      </c>
      <c r="Q322">
        <v>47</v>
      </c>
      <c r="S322">
        <f t="shared" ref="S322:S385" si="20">AVERAGE(P:P)-1</f>
        <v>557.6865165165168</v>
      </c>
      <c r="T322">
        <f t="shared" ref="T322:T385" si="21">COUNTIF(D:D,"Inactive")</f>
        <v>153</v>
      </c>
      <c r="U322">
        <f t="shared" ref="U322:U385" si="22">AVERAGE(L:L)-1</f>
        <v>1.9139139139139139</v>
      </c>
      <c r="V322">
        <f t="shared" ref="V322:V385" si="23">AVERAGE(P:P)-1</f>
        <v>557.6865165165168</v>
      </c>
    </row>
    <row r="323" spans="1:22" x14ac:dyDescent="0.25">
      <c r="A323">
        <v>3789</v>
      </c>
      <c r="B323" s="1">
        <v>43989</v>
      </c>
      <c r="C323" t="s">
        <v>43</v>
      </c>
      <c r="D323" t="s">
        <v>18</v>
      </c>
      <c r="E323" t="s">
        <v>19</v>
      </c>
      <c r="F323" t="s">
        <v>27</v>
      </c>
      <c r="G323" t="s">
        <v>21</v>
      </c>
      <c r="H323" t="s">
        <v>67</v>
      </c>
      <c r="I323" t="s">
        <v>23</v>
      </c>
      <c r="J323" t="s">
        <v>24</v>
      </c>
      <c r="K323" t="s">
        <v>25</v>
      </c>
      <c r="L323">
        <v>3</v>
      </c>
      <c r="M323">
        <v>1</v>
      </c>
      <c r="N323">
        <v>4</v>
      </c>
      <c r="O323">
        <v>1</v>
      </c>
      <c r="P323">
        <v>997.38</v>
      </c>
      <c r="Q323">
        <v>43</v>
      </c>
      <c r="S323">
        <f t="shared" si="20"/>
        <v>557.6865165165168</v>
      </c>
      <c r="T323">
        <f t="shared" si="21"/>
        <v>153</v>
      </c>
      <c r="U323">
        <f t="shared" si="22"/>
        <v>1.9139139139139139</v>
      </c>
      <c r="V323">
        <f t="shared" si="23"/>
        <v>557.6865165165168</v>
      </c>
    </row>
    <row r="324" spans="1:22" x14ac:dyDescent="0.25">
      <c r="A324">
        <v>3790</v>
      </c>
      <c r="B324" s="1">
        <v>45114</v>
      </c>
      <c r="C324" t="s">
        <v>60</v>
      </c>
      <c r="D324" t="s">
        <v>18</v>
      </c>
      <c r="E324" t="s">
        <v>32</v>
      </c>
      <c r="F324" t="s">
        <v>27</v>
      </c>
      <c r="G324" t="s">
        <v>21</v>
      </c>
      <c r="H324" t="s">
        <v>71</v>
      </c>
      <c r="I324" t="s">
        <v>23</v>
      </c>
      <c r="J324" t="s">
        <v>24</v>
      </c>
      <c r="K324" t="s">
        <v>25</v>
      </c>
      <c r="L324">
        <v>3</v>
      </c>
      <c r="M324">
        <v>2</v>
      </c>
      <c r="N324">
        <v>1</v>
      </c>
      <c r="O324">
        <v>2</v>
      </c>
      <c r="P324">
        <v>676.95</v>
      </c>
      <c r="Q324">
        <v>61</v>
      </c>
      <c r="S324">
        <f t="shared" si="20"/>
        <v>557.6865165165168</v>
      </c>
      <c r="T324">
        <f t="shared" si="21"/>
        <v>153</v>
      </c>
      <c r="U324">
        <f t="shared" si="22"/>
        <v>1.9139139139139139</v>
      </c>
      <c r="V324">
        <f t="shared" si="23"/>
        <v>557.6865165165168</v>
      </c>
    </row>
    <row r="325" spans="1:22" x14ac:dyDescent="0.25">
      <c r="A325">
        <v>3791</v>
      </c>
      <c r="B325" s="1">
        <v>43918</v>
      </c>
      <c r="C325" t="s">
        <v>43</v>
      </c>
      <c r="D325" t="s">
        <v>18</v>
      </c>
      <c r="E325" t="s">
        <v>32</v>
      </c>
      <c r="F325" t="s">
        <v>33</v>
      </c>
      <c r="G325" t="s">
        <v>21</v>
      </c>
      <c r="H325" t="s">
        <v>22</v>
      </c>
      <c r="I325" t="s">
        <v>23</v>
      </c>
      <c r="J325" t="s">
        <v>24</v>
      </c>
      <c r="K325" t="s">
        <v>25</v>
      </c>
      <c r="L325">
        <v>4</v>
      </c>
      <c r="M325">
        <v>1</v>
      </c>
      <c r="N325">
        <v>1</v>
      </c>
      <c r="O325">
        <v>2</v>
      </c>
      <c r="P325">
        <v>348.89</v>
      </c>
      <c r="Q325">
        <v>42</v>
      </c>
      <c r="S325">
        <f t="shared" si="20"/>
        <v>557.6865165165168</v>
      </c>
      <c r="T325">
        <f t="shared" si="21"/>
        <v>153</v>
      </c>
      <c r="U325">
        <f t="shared" si="22"/>
        <v>1.9139139139139139</v>
      </c>
      <c r="V325">
        <f t="shared" si="23"/>
        <v>557.6865165165168</v>
      </c>
    </row>
    <row r="326" spans="1:22" x14ac:dyDescent="0.25">
      <c r="A326">
        <v>3792</v>
      </c>
      <c r="B326" s="1">
        <v>43608</v>
      </c>
      <c r="C326" t="s">
        <v>49</v>
      </c>
      <c r="D326" t="s">
        <v>18</v>
      </c>
      <c r="E326" t="s">
        <v>28</v>
      </c>
      <c r="F326" t="s">
        <v>20</v>
      </c>
      <c r="G326" t="s">
        <v>21</v>
      </c>
      <c r="H326" t="s">
        <v>47</v>
      </c>
      <c r="I326" t="s">
        <v>23</v>
      </c>
      <c r="J326" t="s">
        <v>30</v>
      </c>
      <c r="K326" t="s">
        <v>25</v>
      </c>
      <c r="L326">
        <v>2</v>
      </c>
      <c r="M326">
        <v>2</v>
      </c>
      <c r="N326">
        <v>2</v>
      </c>
      <c r="O326">
        <v>1</v>
      </c>
      <c r="P326">
        <v>385.62</v>
      </c>
      <c r="Q326">
        <v>21</v>
      </c>
      <c r="S326">
        <f t="shared" si="20"/>
        <v>557.6865165165168</v>
      </c>
      <c r="T326">
        <f t="shared" si="21"/>
        <v>153</v>
      </c>
      <c r="U326">
        <f t="shared" si="22"/>
        <v>1.9139139139139139</v>
      </c>
      <c r="V326">
        <f t="shared" si="23"/>
        <v>557.6865165165168</v>
      </c>
    </row>
    <row r="327" spans="1:22" x14ac:dyDescent="0.25">
      <c r="A327">
        <v>3793</v>
      </c>
      <c r="B327" s="1">
        <v>43575</v>
      </c>
      <c r="C327" t="s">
        <v>31</v>
      </c>
      <c r="D327" t="s">
        <v>18</v>
      </c>
      <c r="E327" t="s">
        <v>32</v>
      </c>
      <c r="F327" t="s">
        <v>33</v>
      </c>
      <c r="G327" t="s">
        <v>21</v>
      </c>
      <c r="H327" t="s">
        <v>38</v>
      </c>
      <c r="I327" t="s">
        <v>23</v>
      </c>
      <c r="J327" t="s">
        <v>30</v>
      </c>
      <c r="K327" t="s">
        <v>25</v>
      </c>
      <c r="L327">
        <v>2</v>
      </c>
      <c r="M327">
        <v>3</v>
      </c>
      <c r="N327">
        <v>3</v>
      </c>
      <c r="O327">
        <v>2</v>
      </c>
      <c r="P327">
        <v>552.66999999999996</v>
      </c>
      <c r="Q327">
        <v>67</v>
      </c>
      <c r="S327">
        <f t="shared" si="20"/>
        <v>557.6865165165168</v>
      </c>
      <c r="T327">
        <f t="shared" si="21"/>
        <v>153</v>
      </c>
      <c r="U327">
        <f t="shared" si="22"/>
        <v>1.9139139139139139</v>
      </c>
      <c r="V327">
        <f t="shared" si="23"/>
        <v>557.6865165165168</v>
      </c>
    </row>
    <row r="328" spans="1:22" x14ac:dyDescent="0.25">
      <c r="A328">
        <v>3794</v>
      </c>
      <c r="B328" s="1">
        <v>43352</v>
      </c>
      <c r="C328" t="s">
        <v>40</v>
      </c>
      <c r="D328" t="s">
        <v>18</v>
      </c>
      <c r="E328" t="s">
        <v>19</v>
      </c>
      <c r="F328" t="s">
        <v>27</v>
      </c>
      <c r="G328" t="s">
        <v>21</v>
      </c>
      <c r="H328" t="s">
        <v>38</v>
      </c>
      <c r="I328" t="s">
        <v>23</v>
      </c>
      <c r="J328" t="s">
        <v>30</v>
      </c>
      <c r="K328" t="s">
        <v>25</v>
      </c>
      <c r="L328">
        <v>1</v>
      </c>
      <c r="M328">
        <v>1</v>
      </c>
      <c r="N328">
        <v>3</v>
      </c>
      <c r="O328">
        <v>2</v>
      </c>
      <c r="P328">
        <v>645.11</v>
      </c>
      <c r="Q328">
        <v>22</v>
      </c>
      <c r="S328">
        <f t="shared" si="20"/>
        <v>557.6865165165168</v>
      </c>
      <c r="T328">
        <f t="shared" si="21"/>
        <v>153</v>
      </c>
      <c r="U328">
        <f t="shared" si="22"/>
        <v>1.9139139139139139</v>
      </c>
      <c r="V328">
        <f t="shared" si="23"/>
        <v>557.6865165165168</v>
      </c>
    </row>
    <row r="329" spans="1:22" x14ac:dyDescent="0.25">
      <c r="A329">
        <v>3795</v>
      </c>
      <c r="B329" s="1">
        <v>44756</v>
      </c>
      <c r="C329" t="s">
        <v>17</v>
      </c>
      <c r="D329" t="s">
        <v>18</v>
      </c>
      <c r="E329" t="s">
        <v>28</v>
      </c>
      <c r="F329" t="s">
        <v>27</v>
      </c>
      <c r="G329" t="s">
        <v>21</v>
      </c>
      <c r="H329" t="s">
        <v>35</v>
      </c>
      <c r="I329" t="s">
        <v>23</v>
      </c>
      <c r="J329" t="s">
        <v>30</v>
      </c>
      <c r="K329" t="s">
        <v>46</v>
      </c>
      <c r="L329">
        <v>4</v>
      </c>
      <c r="M329">
        <v>3</v>
      </c>
      <c r="N329">
        <v>2</v>
      </c>
      <c r="O329">
        <v>1</v>
      </c>
      <c r="P329">
        <v>954.02</v>
      </c>
      <c r="Q329">
        <v>33</v>
      </c>
      <c r="S329">
        <f t="shared" si="20"/>
        <v>557.6865165165168</v>
      </c>
      <c r="T329">
        <f t="shared" si="21"/>
        <v>153</v>
      </c>
      <c r="U329">
        <f t="shared" si="22"/>
        <v>1.9139139139139139</v>
      </c>
      <c r="V329">
        <f t="shared" si="23"/>
        <v>557.6865165165168</v>
      </c>
    </row>
    <row r="330" spans="1:22" x14ac:dyDescent="0.25">
      <c r="A330">
        <v>3796</v>
      </c>
      <c r="B330" s="1">
        <v>43572</v>
      </c>
      <c r="C330" t="s">
        <v>52</v>
      </c>
      <c r="D330" t="s">
        <v>18</v>
      </c>
      <c r="E330" t="s">
        <v>19</v>
      </c>
      <c r="F330" t="s">
        <v>27</v>
      </c>
      <c r="G330" t="s">
        <v>21</v>
      </c>
      <c r="H330" t="s">
        <v>38</v>
      </c>
      <c r="I330" t="s">
        <v>23</v>
      </c>
      <c r="J330" t="s">
        <v>24</v>
      </c>
      <c r="K330" t="s">
        <v>46</v>
      </c>
      <c r="L330">
        <v>1</v>
      </c>
      <c r="M330">
        <v>5</v>
      </c>
      <c r="N330">
        <v>2</v>
      </c>
      <c r="O330">
        <v>5</v>
      </c>
      <c r="P330">
        <v>255.74</v>
      </c>
      <c r="Q330">
        <v>55</v>
      </c>
      <c r="S330">
        <f t="shared" si="20"/>
        <v>557.6865165165168</v>
      </c>
      <c r="T330">
        <f t="shared" si="21"/>
        <v>153</v>
      </c>
      <c r="U330">
        <f t="shared" si="22"/>
        <v>1.9139139139139139</v>
      </c>
      <c r="V330">
        <f t="shared" si="23"/>
        <v>557.6865165165168</v>
      </c>
    </row>
    <row r="331" spans="1:22" x14ac:dyDescent="0.25">
      <c r="A331">
        <v>3797</v>
      </c>
      <c r="B331" s="1">
        <v>43966</v>
      </c>
      <c r="C331" t="s">
        <v>26</v>
      </c>
      <c r="D331" t="s">
        <v>18</v>
      </c>
      <c r="E331" t="s">
        <v>19</v>
      </c>
      <c r="F331" t="s">
        <v>27</v>
      </c>
      <c r="G331" t="s">
        <v>21</v>
      </c>
      <c r="H331" t="s">
        <v>68</v>
      </c>
      <c r="I331" t="s">
        <v>23</v>
      </c>
      <c r="J331" t="s">
        <v>24</v>
      </c>
      <c r="K331" t="s">
        <v>25</v>
      </c>
      <c r="L331">
        <v>3</v>
      </c>
      <c r="M331">
        <v>4</v>
      </c>
      <c r="N331">
        <v>2</v>
      </c>
      <c r="O331">
        <v>2</v>
      </c>
      <c r="P331">
        <v>279.38</v>
      </c>
      <c r="Q331">
        <v>45</v>
      </c>
      <c r="S331">
        <f t="shared" si="20"/>
        <v>557.6865165165168</v>
      </c>
      <c r="T331">
        <f t="shared" si="21"/>
        <v>153</v>
      </c>
      <c r="U331">
        <f t="shared" si="22"/>
        <v>1.9139139139139139</v>
      </c>
      <c r="V331">
        <f t="shared" si="23"/>
        <v>557.6865165165168</v>
      </c>
    </row>
    <row r="332" spans="1:22" x14ac:dyDescent="0.25">
      <c r="A332">
        <v>3798</v>
      </c>
      <c r="B332" s="1">
        <v>43925</v>
      </c>
      <c r="C332" t="s">
        <v>54</v>
      </c>
      <c r="D332" t="s">
        <v>18</v>
      </c>
      <c r="E332" t="s">
        <v>32</v>
      </c>
      <c r="F332" t="s">
        <v>20</v>
      </c>
      <c r="G332" t="s">
        <v>21</v>
      </c>
      <c r="H332" t="s">
        <v>38</v>
      </c>
      <c r="I332" t="s">
        <v>23</v>
      </c>
      <c r="J332" t="s">
        <v>30</v>
      </c>
      <c r="K332" t="s">
        <v>25</v>
      </c>
      <c r="L332">
        <v>1</v>
      </c>
      <c r="M332">
        <v>1</v>
      </c>
      <c r="N332">
        <v>1</v>
      </c>
      <c r="O332">
        <v>5</v>
      </c>
      <c r="P332">
        <v>303.44</v>
      </c>
      <c r="Q332">
        <v>59</v>
      </c>
      <c r="S332">
        <f t="shared" si="20"/>
        <v>557.6865165165168</v>
      </c>
      <c r="T332">
        <f t="shared" si="21"/>
        <v>153</v>
      </c>
      <c r="U332">
        <f t="shared" si="22"/>
        <v>1.9139139139139139</v>
      </c>
      <c r="V332">
        <f t="shared" si="23"/>
        <v>557.6865165165168</v>
      </c>
    </row>
    <row r="333" spans="1:22" x14ac:dyDescent="0.25">
      <c r="A333">
        <v>3799</v>
      </c>
      <c r="B333" s="1">
        <v>44849</v>
      </c>
      <c r="C333" t="s">
        <v>37</v>
      </c>
      <c r="D333" t="s">
        <v>18</v>
      </c>
      <c r="E333" t="s">
        <v>32</v>
      </c>
      <c r="F333" t="s">
        <v>27</v>
      </c>
      <c r="G333" t="s">
        <v>21</v>
      </c>
      <c r="H333" t="s">
        <v>50</v>
      </c>
      <c r="I333" t="s">
        <v>23</v>
      </c>
      <c r="J333" t="s">
        <v>30</v>
      </c>
      <c r="K333" t="s">
        <v>46</v>
      </c>
      <c r="L333">
        <v>3</v>
      </c>
      <c r="M333">
        <v>1</v>
      </c>
      <c r="N333">
        <v>3</v>
      </c>
      <c r="O333">
        <v>4</v>
      </c>
      <c r="P333">
        <v>809.38</v>
      </c>
      <c r="Q333">
        <v>58</v>
      </c>
      <c r="S333">
        <f t="shared" si="20"/>
        <v>557.6865165165168</v>
      </c>
      <c r="T333">
        <f t="shared" si="21"/>
        <v>153</v>
      </c>
      <c r="U333">
        <f t="shared" si="22"/>
        <v>1.9139139139139139</v>
      </c>
      <c r="V333">
        <f t="shared" si="23"/>
        <v>557.6865165165168</v>
      </c>
    </row>
    <row r="334" spans="1:22" x14ac:dyDescent="0.25">
      <c r="A334">
        <v>3800</v>
      </c>
      <c r="B334" s="1">
        <v>43657</v>
      </c>
      <c r="C334" t="s">
        <v>60</v>
      </c>
      <c r="D334" t="s">
        <v>18</v>
      </c>
      <c r="E334" t="s">
        <v>19</v>
      </c>
      <c r="F334" t="s">
        <v>20</v>
      </c>
      <c r="G334" t="s">
        <v>21</v>
      </c>
      <c r="H334" t="s">
        <v>35</v>
      </c>
      <c r="I334" t="s">
        <v>23</v>
      </c>
      <c r="J334" t="s">
        <v>30</v>
      </c>
      <c r="K334" t="s">
        <v>25</v>
      </c>
      <c r="L334">
        <v>5</v>
      </c>
      <c r="M334">
        <v>3</v>
      </c>
      <c r="N334">
        <v>5</v>
      </c>
      <c r="O334">
        <v>4</v>
      </c>
      <c r="P334">
        <v>886.12</v>
      </c>
      <c r="Q334">
        <v>69</v>
      </c>
      <c r="S334">
        <f t="shared" si="20"/>
        <v>557.6865165165168</v>
      </c>
      <c r="T334">
        <f t="shared" si="21"/>
        <v>153</v>
      </c>
      <c r="U334">
        <f t="shared" si="22"/>
        <v>1.9139139139139139</v>
      </c>
      <c r="V334">
        <f t="shared" si="23"/>
        <v>557.6865165165168</v>
      </c>
    </row>
    <row r="335" spans="1:22" x14ac:dyDescent="0.25">
      <c r="A335">
        <v>3801</v>
      </c>
      <c r="B335" s="1">
        <v>43740</v>
      </c>
      <c r="C335" t="s">
        <v>43</v>
      </c>
      <c r="D335" t="s">
        <v>18</v>
      </c>
      <c r="E335" t="s">
        <v>19</v>
      </c>
      <c r="F335" t="s">
        <v>20</v>
      </c>
      <c r="G335" t="s">
        <v>21</v>
      </c>
      <c r="H335" t="s">
        <v>41</v>
      </c>
      <c r="I335" t="s">
        <v>23</v>
      </c>
      <c r="J335" t="s">
        <v>24</v>
      </c>
      <c r="K335" t="s">
        <v>25</v>
      </c>
      <c r="L335">
        <v>2</v>
      </c>
      <c r="M335">
        <v>1</v>
      </c>
      <c r="N335">
        <v>4</v>
      </c>
      <c r="O335">
        <v>2</v>
      </c>
      <c r="P335">
        <v>125.88</v>
      </c>
      <c r="Q335">
        <v>71</v>
      </c>
      <c r="S335">
        <f t="shared" si="20"/>
        <v>557.6865165165168</v>
      </c>
      <c r="T335">
        <f t="shared" si="21"/>
        <v>153</v>
      </c>
      <c r="U335">
        <f t="shared" si="22"/>
        <v>1.9139139139139139</v>
      </c>
      <c r="V335">
        <f t="shared" si="23"/>
        <v>557.6865165165168</v>
      </c>
    </row>
    <row r="336" spans="1:22" x14ac:dyDescent="0.25">
      <c r="A336">
        <v>3802</v>
      </c>
      <c r="B336" s="1">
        <v>44259</v>
      </c>
      <c r="C336" t="s">
        <v>49</v>
      </c>
      <c r="D336" t="s">
        <v>18</v>
      </c>
      <c r="E336" t="s">
        <v>32</v>
      </c>
      <c r="F336" t="s">
        <v>27</v>
      </c>
      <c r="G336" t="s">
        <v>21</v>
      </c>
      <c r="H336" t="s">
        <v>41</v>
      </c>
      <c r="I336" t="s">
        <v>23</v>
      </c>
      <c r="J336" t="s">
        <v>30</v>
      </c>
      <c r="K336" t="s">
        <v>25</v>
      </c>
      <c r="L336">
        <v>3</v>
      </c>
      <c r="M336">
        <v>3</v>
      </c>
      <c r="N336">
        <v>5</v>
      </c>
      <c r="O336">
        <v>1</v>
      </c>
      <c r="P336">
        <v>493.72</v>
      </c>
      <c r="Q336">
        <v>74</v>
      </c>
      <c r="S336">
        <f t="shared" si="20"/>
        <v>557.6865165165168</v>
      </c>
      <c r="T336">
        <f t="shared" si="21"/>
        <v>153</v>
      </c>
      <c r="U336">
        <f t="shared" si="22"/>
        <v>1.9139139139139139</v>
      </c>
      <c r="V336">
        <f t="shared" si="23"/>
        <v>557.6865165165168</v>
      </c>
    </row>
    <row r="337" spans="1:22" x14ac:dyDescent="0.25">
      <c r="A337">
        <v>3804</v>
      </c>
      <c r="B337" s="1">
        <v>43600</v>
      </c>
      <c r="C337" t="s">
        <v>40</v>
      </c>
      <c r="D337" t="s">
        <v>18</v>
      </c>
      <c r="E337" t="s">
        <v>32</v>
      </c>
      <c r="F337" t="s">
        <v>20</v>
      </c>
      <c r="G337" t="s">
        <v>21</v>
      </c>
      <c r="H337" t="s">
        <v>38</v>
      </c>
      <c r="I337" t="s">
        <v>23</v>
      </c>
      <c r="J337" t="s">
        <v>24</v>
      </c>
      <c r="K337" t="s">
        <v>25</v>
      </c>
      <c r="L337">
        <v>3</v>
      </c>
      <c r="M337">
        <v>2</v>
      </c>
      <c r="N337">
        <v>2</v>
      </c>
      <c r="O337">
        <v>4</v>
      </c>
      <c r="P337">
        <v>414.55</v>
      </c>
      <c r="Q337">
        <v>41</v>
      </c>
      <c r="S337">
        <f t="shared" si="20"/>
        <v>557.6865165165168</v>
      </c>
      <c r="T337">
        <f t="shared" si="21"/>
        <v>153</v>
      </c>
      <c r="U337">
        <f t="shared" si="22"/>
        <v>1.9139139139139139</v>
      </c>
      <c r="V337">
        <f t="shared" si="23"/>
        <v>557.6865165165168</v>
      </c>
    </row>
    <row r="338" spans="1:22" x14ac:dyDescent="0.25">
      <c r="A338">
        <v>3805</v>
      </c>
      <c r="B338" s="1">
        <v>44679</v>
      </c>
      <c r="C338" t="s">
        <v>17</v>
      </c>
      <c r="D338" t="s">
        <v>18</v>
      </c>
      <c r="E338" t="s">
        <v>32</v>
      </c>
      <c r="F338" t="s">
        <v>33</v>
      </c>
      <c r="G338" t="s">
        <v>21</v>
      </c>
      <c r="H338" t="s">
        <v>38</v>
      </c>
      <c r="I338" t="s">
        <v>23</v>
      </c>
      <c r="J338" t="s">
        <v>30</v>
      </c>
      <c r="K338" t="s">
        <v>25</v>
      </c>
      <c r="L338">
        <v>2</v>
      </c>
      <c r="M338">
        <v>5</v>
      </c>
      <c r="N338">
        <v>2</v>
      </c>
      <c r="O338">
        <v>1</v>
      </c>
      <c r="P338">
        <v>391.88</v>
      </c>
      <c r="Q338">
        <v>40</v>
      </c>
      <c r="S338">
        <f t="shared" si="20"/>
        <v>557.6865165165168</v>
      </c>
      <c r="T338">
        <f t="shared" si="21"/>
        <v>153</v>
      </c>
      <c r="U338">
        <f t="shared" si="22"/>
        <v>1.9139139139139139</v>
      </c>
      <c r="V338">
        <f t="shared" si="23"/>
        <v>557.6865165165168</v>
      </c>
    </row>
    <row r="339" spans="1:22" x14ac:dyDescent="0.25">
      <c r="A339">
        <v>3806</v>
      </c>
      <c r="B339" s="1">
        <v>44462</v>
      </c>
      <c r="C339" t="s">
        <v>52</v>
      </c>
      <c r="D339" t="s">
        <v>18</v>
      </c>
      <c r="E339" t="s">
        <v>19</v>
      </c>
      <c r="F339" t="s">
        <v>20</v>
      </c>
      <c r="G339" t="s">
        <v>21</v>
      </c>
      <c r="H339" t="s">
        <v>41</v>
      </c>
      <c r="I339" t="s">
        <v>23</v>
      </c>
      <c r="J339" t="s">
        <v>30</v>
      </c>
      <c r="K339" t="s">
        <v>25</v>
      </c>
      <c r="L339">
        <v>4</v>
      </c>
      <c r="M339">
        <v>1</v>
      </c>
      <c r="N339">
        <v>5</v>
      </c>
      <c r="O339">
        <v>4</v>
      </c>
      <c r="P339">
        <v>600.64</v>
      </c>
      <c r="Q339">
        <v>47</v>
      </c>
      <c r="S339">
        <f t="shared" si="20"/>
        <v>557.6865165165168</v>
      </c>
      <c r="T339">
        <f t="shared" si="21"/>
        <v>153</v>
      </c>
      <c r="U339">
        <f t="shared" si="22"/>
        <v>1.9139139139139139</v>
      </c>
      <c r="V339">
        <f t="shared" si="23"/>
        <v>557.6865165165168</v>
      </c>
    </row>
    <row r="340" spans="1:22" x14ac:dyDescent="0.25">
      <c r="A340">
        <v>3807</v>
      </c>
      <c r="B340" s="1">
        <v>44454</v>
      </c>
      <c r="C340" t="s">
        <v>26</v>
      </c>
      <c r="D340" t="s">
        <v>18</v>
      </c>
      <c r="E340" t="s">
        <v>19</v>
      </c>
      <c r="F340" t="s">
        <v>20</v>
      </c>
      <c r="G340" t="s">
        <v>21</v>
      </c>
      <c r="H340" t="s">
        <v>62</v>
      </c>
      <c r="I340" t="s">
        <v>23</v>
      </c>
      <c r="J340" t="s">
        <v>30</v>
      </c>
      <c r="K340" t="s">
        <v>25</v>
      </c>
      <c r="L340">
        <v>4</v>
      </c>
      <c r="M340">
        <v>5</v>
      </c>
      <c r="N340">
        <v>4</v>
      </c>
      <c r="O340">
        <v>1</v>
      </c>
      <c r="P340">
        <v>997.74</v>
      </c>
      <c r="Q340">
        <v>57</v>
      </c>
      <c r="S340">
        <f t="shared" si="20"/>
        <v>557.6865165165168</v>
      </c>
      <c r="T340">
        <f t="shared" si="21"/>
        <v>153</v>
      </c>
      <c r="U340">
        <f t="shared" si="22"/>
        <v>1.9139139139139139</v>
      </c>
      <c r="V340">
        <f t="shared" si="23"/>
        <v>557.6865165165168</v>
      </c>
    </row>
    <row r="341" spans="1:22" x14ac:dyDescent="0.25">
      <c r="A341">
        <v>3808</v>
      </c>
      <c r="B341" s="1">
        <v>43582</v>
      </c>
      <c r="C341" t="s">
        <v>60</v>
      </c>
      <c r="D341" t="s">
        <v>18</v>
      </c>
      <c r="E341" t="s">
        <v>19</v>
      </c>
      <c r="F341" t="s">
        <v>33</v>
      </c>
      <c r="G341" t="s">
        <v>61</v>
      </c>
      <c r="H341" t="s">
        <v>35</v>
      </c>
      <c r="I341" t="s">
        <v>23</v>
      </c>
      <c r="J341" t="s">
        <v>24</v>
      </c>
      <c r="K341" t="s">
        <v>25</v>
      </c>
      <c r="L341">
        <v>5</v>
      </c>
      <c r="M341">
        <v>4</v>
      </c>
      <c r="N341">
        <v>4</v>
      </c>
      <c r="O341">
        <v>4</v>
      </c>
      <c r="P341">
        <v>254.26</v>
      </c>
      <c r="Q341">
        <v>71</v>
      </c>
      <c r="S341">
        <f t="shared" si="20"/>
        <v>557.6865165165168</v>
      </c>
      <c r="T341">
        <f t="shared" si="21"/>
        <v>153</v>
      </c>
      <c r="U341">
        <f t="shared" si="22"/>
        <v>1.9139139139139139</v>
      </c>
      <c r="V341">
        <f t="shared" si="23"/>
        <v>557.6865165165168</v>
      </c>
    </row>
    <row r="342" spans="1:22" x14ac:dyDescent="0.25">
      <c r="A342">
        <v>3809</v>
      </c>
      <c r="B342" s="1">
        <v>43744</v>
      </c>
      <c r="C342" t="s">
        <v>37</v>
      </c>
      <c r="D342" t="s">
        <v>18</v>
      </c>
      <c r="E342" t="s">
        <v>28</v>
      </c>
      <c r="F342" t="s">
        <v>33</v>
      </c>
      <c r="G342" t="s">
        <v>61</v>
      </c>
      <c r="H342" t="s">
        <v>41</v>
      </c>
      <c r="I342" t="s">
        <v>23</v>
      </c>
      <c r="J342" t="s">
        <v>30</v>
      </c>
      <c r="K342" t="s">
        <v>25</v>
      </c>
      <c r="L342">
        <v>3</v>
      </c>
      <c r="M342">
        <v>1</v>
      </c>
      <c r="N342">
        <v>5</v>
      </c>
      <c r="O342">
        <v>3</v>
      </c>
      <c r="P342">
        <v>786.62</v>
      </c>
      <c r="Q342">
        <v>18</v>
      </c>
      <c r="S342">
        <f t="shared" si="20"/>
        <v>557.6865165165168</v>
      </c>
      <c r="T342">
        <f t="shared" si="21"/>
        <v>153</v>
      </c>
      <c r="U342">
        <f t="shared" si="22"/>
        <v>1.9139139139139139</v>
      </c>
      <c r="V342">
        <f t="shared" si="23"/>
        <v>557.6865165165168</v>
      </c>
    </row>
    <row r="343" spans="1:22" x14ac:dyDescent="0.25">
      <c r="A343">
        <v>3810</v>
      </c>
      <c r="B343" s="1">
        <v>43877</v>
      </c>
      <c r="C343" t="s">
        <v>31</v>
      </c>
      <c r="D343" t="s">
        <v>18</v>
      </c>
      <c r="E343" t="s">
        <v>32</v>
      </c>
      <c r="F343" t="s">
        <v>27</v>
      </c>
      <c r="G343" t="s">
        <v>61</v>
      </c>
      <c r="H343" t="s">
        <v>35</v>
      </c>
      <c r="I343" t="s">
        <v>42</v>
      </c>
      <c r="J343" t="s">
        <v>24</v>
      </c>
      <c r="K343" t="s">
        <v>25</v>
      </c>
      <c r="L343">
        <v>3</v>
      </c>
      <c r="M343">
        <v>3</v>
      </c>
      <c r="N343">
        <v>1</v>
      </c>
      <c r="O343">
        <v>3</v>
      </c>
      <c r="P343">
        <v>189.7</v>
      </c>
      <c r="Q343">
        <v>61</v>
      </c>
      <c r="S343">
        <f t="shared" si="20"/>
        <v>557.6865165165168</v>
      </c>
      <c r="T343">
        <f t="shared" si="21"/>
        <v>153</v>
      </c>
      <c r="U343">
        <f t="shared" si="22"/>
        <v>1.9139139139139139</v>
      </c>
      <c r="V343">
        <f t="shared" si="23"/>
        <v>557.6865165165168</v>
      </c>
    </row>
    <row r="344" spans="1:22" x14ac:dyDescent="0.25">
      <c r="A344">
        <v>3811</v>
      </c>
      <c r="B344" s="1">
        <v>44695</v>
      </c>
      <c r="C344" t="s">
        <v>31</v>
      </c>
      <c r="D344" t="s">
        <v>18</v>
      </c>
      <c r="E344" t="s">
        <v>28</v>
      </c>
      <c r="F344" t="s">
        <v>33</v>
      </c>
      <c r="G344" t="s">
        <v>61</v>
      </c>
      <c r="H344" t="s">
        <v>63</v>
      </c>
      <c r="I344" t="s">
        <v>42</v>
      </c>
      <c r="J344" t="s">
        <v>30</v>
      </c>
      <c r="K344" t="s">
        <v>25</v>
      </c>
      <c r="L344">
        <v>1</v>
      </c>
      <c r="M344">
        <v>1</v>
      </c>
      <c r="N344">
        <v>1</v>
      </c>
      <c r="O344">
        <v>2</v>
      </c>
      <c r="P344">
        <v>484.02</v>
      </c>
      <c r="Q344">
        <v>64</v>
      </c>
      <c r="S344">
        <f t="shared" si="20"/>
        <v>557.6865165165168</v>
      </c>
      <c r="T344">
        <f t="shared" si="21"/>
        <v>153</v>
      </c>
      <c r="U344">
        <f t="shared" si="22"/>
        <v>1.9139139139139139</v>
      </c>
      <c r="V344">
        <f t="shared" si="23"/>
        <v>557.6865165165168</v>
      </c>
    </row>
    <row r="345" spans="1:22" x14ac:dyDescent="0.25">
      <c r="A345">
        <v>3812</v>
      </c>
      <c r="B345" s="1">
        <v>43509</v>
      </c>
      <c r="C345" t="s">
        <v>40</v>
      </c>
      <c r="D345" t="s">
        <v>18</v>
      </c>
      <c r="E345" t="s">
        <v>19</v>
      </c>
      <c r="F345" t="s">
        <v>33</v>
      </c>
      <c r="G345" t="s">
        <v>61</v>
      </c>
      <c r="H345" t="s">
        <v>44</v>
      </c>
      <c r="I345" t="s">
        <v>23</v>
      </c>
      <c r="J345" t="s">
        <v>24</v>
      </c>
      <c r="K345" t="s">
        <v>25</v>
      </c>
      <c r="L345">
        <v>3</v>
      </c>
      <c r="M345">
        <v>3</v>
      </c>
      <c r="N345">
        <v>1</v>
      </c>
      <c r="O345">
        <v>5</v>
      </c>
      <c r="P345">
        <v>299.74</v>
      </c>
      <c r="Q345">
        <v>34</v>
      </c>
      <c r="S345">
        <f t="shared" si="20"/>
        <v>557.6865165165168</v>
      </c>
      <c r="T345">
        <f t="shared" si="21"/>
        <v>153</v>
      </c>
      <c r="U345">
        <f t="shared" si="22"/>
        <v>1.9139139139139139</v>
      </c>
      <c r="V345">
        <f t="shared" si="23"/>
        <v>557.6865165165168</v>
      </c>
    </row>
    <row r="346" spans="1:22" x14ac:dyDescent="0.25">
      <c r="A346">
        <v>3813</v>
      </c>
      <c r="B346" s="1">
        <v>44797</v>
      </c>
      <c r="C346" t="s">
        <v>52</v>
      </c>
      <c r="D346" t="s">
        <v>18</v>
      </c>
      <c r="E346" t="s">
        <v>28</v>
      </c>
      <c r="F346" t="s">
        <v>27</v>
      </c>
      <c r="G346" t="s">
        <v>61</v>
      </c>
      <c r="H346" t="s">
        <v>47</v>
      </c>
      <c r="I346" t="s">
        <v>23</v>
      </c>
      <c r="J346" t="s">
        <v>30</v>
      </c>
      <c r="K346" t="s">
        <v>25</v>
      </c>
      <c r="L346">
        <v>2</v>
      </c>
      <c r="M346">
        <v>3</v>
      </c>
      <c r="N346">
        <v>4</v>
      </c>
      <c r="O346">
        <v>1</v>
      </c>
      <c r="P346">
        <v>169.79</v>
      </c>
      <c r="Q346">
        <v>67</v>
      </c>
      <c r="S346">
        <f t="shared" si="20"/>
        <v>557.6865165165168</v>
      </c>
      <c r="T346">
        <f t="shared" si="21"/>
        <v>153</v>
      </c>
      <c r="U346">
        <f t="shared" si="22"/>
        <v>1.9139139139139139</v>
      </c>
      <c r="V346">
        <f t="shared" si="23"/>
        <v>557.6865165165168</v>
      </c>
    </row>
    <row r="347" spans="1:22" x14ac:dyDescent="0.25">
      <c r="A347">
        <v>3815</v>
      </c>
      <c r="B347" s="1">
        <v>44281</v>
      </c>
      <c r="C347" t="s">
        <v>52</v>
      </c>
      <c r="D347" t="s">
        <v>18</v>
      </c>
      <c r="E347" t="s">
        <v>19</v>
      </c>
      <c r="F347" t="s">
        <v>20</v>
      </c>
      <c r="G347" t="s">
        <v>61</v>
      </c>
      <c r="H347" t="s">
        <v>62</v>
      </c>
      <c r="I347" t="s">
        <v>23</v>
      </c>
      <c r="J347" t="s">
        <v>30</v>
      </c>
      <c r="K347" t="s">
        <v>25</v>
      </c>
      <c r="L347">
        <v>1</v>
      </c>
      <c r="M347">
        <v>5</v>
      </c>
      <c r="N347">
        <v>3</v>
      </c>
      <c r="O347">
        <v>1</v>
      </c>
      <c r="P347">
        <v>910.09</v>
      </c>
      <c r="Q347">
        <v>37</v>
      </c>
      <c r="S347">
        <f t="shared" si="20"/>
        <v>557.6865165165168</v>
      </c>
      <c r="T347">
        <f t="shared" si="21"/>
        <v>153</v>
      </c>
      <c r="U347">
        <f t="shared" si="22"/>
        <v>1.9139139139139139</v>
      </c>
      <c r="V347">
        <f t="shared" si="23"/>
        <v>557.6865165165168</v>
      </c>
    </row>
    <row r="348" spans="1:22" x14ac:dyDescent="0.25">
      <c r="A348">
        <v>3816</v>
      </c>
      <c r="B348" s="1">
        <v>44317</v>
      </c>
      <c r="C348" t="s">
        <v>43</v>
      </c>
      <c r="D348" t="s">
        <v>18</v>
      </c>
      <c r="E348" t="s">
        <v>32</v>
      </c>
      <c r="F348" t="s">
        <v>27</v>
      </c>
      <c r="G348" t="s">
        <v>61</v>
      </c>
      <c r="H348" t="s">
        <v>41</v>
      </c>
      <c r="I348" t="s">
        <v>23</v>
      </c>
      <c r="J348" t="s">
        <v>30</v>
      </c>
      <c r="K348" t="s">
        <v>25</v>
      </c>
      <c r="L348">
        <v>1</v>
      </c>
      <c r="M348">
        <v>1</v>
      </c>
      <c r="N348">
        <v>5</v>
      </c>
      <c r="O348">
        <v>5</v>
      </c>
      <c r="P348">
        <v>912.1</v>
      </c>
      <c r="Q348">
        <v>65</v>
      </c>
      <c r="S348">
        <f t="shared" si="20"/>
        <v>557.6865165165168</v>
      </c>
      <c r="T348">
        <f t="shared" si="21"/>
        <v>153</v>
      </c>
      <c r="U348">
        <f t="shared" si="22"/>
        <v>1.9139139139139139</v>
      </c>
      <c r="V348">
        <f t="shared" si="23"/>
        <v>557.6865165165168</v>
      </c>
    </row>
    <row r="349" spans="1:22" x14ac:dyDescent="0.25">
      <c r="A349">
        <v>3817</v>
      </c>
      <c r="B349" s="1">
        <v>44479</v>
      </c>
      <c r="C349" t="s">
        <v>17</v>
      </c>
      <c r="D349" t="s">
        <v>18</v>
      </c>
      <c r="E349" t="s">
        <v>28</v>
      </c>
      <c r="F349" t="s">
        <v>27</v>
      </c>
      <c r="G349" t="s">
        <v>61</v>
      </c>
      <c r="H349" t="s">
        <v>38</v>
      </c>
      <c r="I349" t="s">
        <v>23</v>
      </c>
      <c r="J349" t="s">
        <v>24</v>
      </c>
      <c r="K349" t="s">
        <v>64</v>
      </c>
      <c r="L349">
        <v>3</v>
      </c>
      <c r="M349">
        <v>3</v>
      </c>
      <c r="N349">
        <v>1</v>
      </c>
      <c r="O349">
        <v>4</v>
      </c>
      <c r="P349">
        <v>456.65</v>
      </c>
      <c r="Q349">
        <v>43</v>
      </c>
      <c r="S349">
        <f t="shared" si="20"/>
        <v>557.6865165165168</v>
      </c>
      <c r="T349">
        <f t="shared" si="21"/>
        <v>153</v>
      </c>
      <c r="U349">
        <f t="shared" si="22"/>
        <v>1.9139139139139139</v>
      </c>
      <c r="V349">
        <f t="shared" si="23"/>
        <v>557.6865165165168</v>
      </c>
    </row>
    <row r="350" spans="1:22" x14ac:dyDescent="0.25">
      <c r="A350">
        <v>3818</v>
      </c>
      <c r="B350" s="1">
        <v>43832</v>
      </c>
      <c r="C350" t="s">
        <v>17</v>
      </c>
      <c r="D350" t="s">
        <v>18</v>
      </c>
      <c r="E350" t="s">
        <v>28</v>
      </c>
      <c r="F350" t="s">
        <v>27</v>
      </c>
      <c r="G350" t="s">
        <v>61</v>
      </c>
      <c r="H350" t="s">
        <v>69</v>
      </c>
      <c r="I350" t="s">
        <v>23</v>
      </c>
      <c r="J350" t="s">
        <v>30</v>
      </c>
      <c r="K350" t="s">
        <v>25</v>
      </c>
      <c r="L350">
        <v>1</v>
      </c>
      <c r="M350">
        <v>1</v>
      </c>
      <c r="N350">
        <v>3</v>
      </c>
      <c r="O350">
        <v>4</v>
      </c>
      <c r="P350">
        <v>313.5</v>
      </c>
      <c r="Q350">
        <v>70</v>
      </c>
      <c r="S350">
        <f t="shared" si="20"/>
        <v>557.6865165165168</v>
      </c>
      <c r="T350">
        <f t="shared" si="21"/>
        <v>153</v>
      </c>
      <c r="U350">
        <f t="shared" si="22"/>
        <v>1.9139139139139139</v>
      </c>
      <c r="V350">
        <f t="shared" si="23"/>
        <v>557.6865165165168</v>
      </c>
    </row>
    <row r="351" spans="1:22" x14ac:dyDescent="0.25">
      <c r="A351">
        <v>3819</v>
      </c>
      <c r="B351" s="1">
        <v>43850</v>
      </c>
      <c r="C351" t="s">
        <v>54</v>
      </c>
      <c r="D351" t="s">
        <v>18</v>
      </c>
      <c r="E351" t="s">
        <v>32</v>
      </c>
      <c r="F351" t="s">
        <v>33</v>
      </c>
      <c r="G351" t="s">
        <v>61</v>
      </c>
      <c r="H351" t="s">
        <v>29</v>
      </c>
      <c r="I351" t="s">
        <v>23</v>
      </c>
      <c r="J351" t="s">
        <v>24</v>
      </c>
      <c r="K351" t="s">
        <v>25</v>
      </c>
      <c r="L351">
        <v>4</v>
      </c>
      <c r="M351">
        <v>1</v>
      </c>
      <c r="N351">
        <v>1</v>
      </c>
      <c r="O351">
        <v>3</v>
      </c>
      <c r="P351">
        <v>906.45</v>
      </c>
      <c r="Q351">
        <v>63</v>
      </c>
      <c r="S351">
        <f t="shared" si="20"/>
        <v>557.6865165165168</v>
      </c>
      <c r="T351">
        <f t="shared" si="21"/>
        <v>153</v>
      </c>
      <c r="U351">
        <f t="shared" si="22"/>
        <v>1.9139139139139139</v>
      </c>
      <c r="V351">
        <f t="shared" si="23"/>
        <v>557.6865165165168</v>
      </c>
    </row>
    <row r="352" spans="1:22" x14ac:dyDescent="0.25">
      <c r="A352">
        <v>3820</v>
      </c>
      <c r="B352" s="1">
        <v>43323</v>
      </c>
      <c r="C352" t="s">
        <v>26</v>
      </c>
      <c r="D352" t="s">
        <v>18</v>
      </c>
      <c r="E352" t="s">
        <v>19</v>
      </c>
      <c r="F352" t="s">
        <v>20</v>
      </c>
      <c r="G352" t="s">
        <v>61</v>
      </c>
      <c r="H352" t="s">
        <v>38</v>
      </c>
      <c r="I352" t="s">
        <v>23</v>
      </c>
      <c r="J352" t="s">
        <v>24</v>
      </c>
      <c r="K352" t="s">
        <v>25</v>
      </c>
      <c r="L352">
        <v>1</v>
      </c>
      <c r="M352">
        <v>3</v>
      </c>
      <c r="N352">
        <v>4</v>
      </c>
      <c r="O352">
        <v>2</v>
      </c>
      <c r="P352">
        <v>333.8</v>
      </c>
      <c r="Q352">
        <v>42</v>
      </c>
      <c r="S352">
        <f t="shared" si="20"/>
        <v>557.6865165165168</v>
      </c>
      <c r="T352">
        <f t="shared" si="21"/>
        <v>153</v>
      </c>
      <c r="U352">
        <f t="shared" si="22"/>
        <v>1.9139139139139139</v>
      </c>
      <c r="V352">
        <f t="shared" si="23"/>
        <v>557.6865165165168</v>
      </c>
    </row>
    <row r="353" spans="1:22" x14ac:dyDescent="0.25">
      <c r="A353">
        <v>3821</v>
      </c>
      <c r="B353" s="1">
        <v>44548</v>
      </c>
      <c r="C353" t="s">
        <v>37</v>
      </c>
      <c r="D353" t="s">
        <v>18</v>
      </c>
      <c r="E353" t="s">
        <v>19</v>
      </c>
      <c r="F353" t="s">
        <v>27</v>
      </c>
      <c r="G353" t="s">
        <v>61</v>
      </c>
      <c r="H353" t="s">
        <v>41</v>
      </c>
      <c r="I353" t="s">
        <v>23</v>
      </c>
      <c r="J353" t="s">
        <v>30</v>
      </c>
      <c r="K353" t="s">
        <v>25</v>
      </c>
      <c r="L353">
        <v>5</v>
      </c>
      <c r="M353">
        <v>4</v>
      </c>
      <c r="N353">
        <v>4</v>
      </c>
      <c r="O353">
        <v>2</v>
      </c>
      <c r="P353">
        <v>866.63</v>
      </c>
      <c r="Q353">
        <v>40</v>
      </c>
      <c r="S353">
        <f t="shared" si="20"/>
        <v>557.6865165165168</v>
      </c>
      <c r="T353">
        <f t="shared" si="21"/>
        <v>153</v>
      </c>
      <c r="U353">
        <f t="shared" si="22"/>
        <v>1.9139139139139139</v>
      </c>
      <c r="V353">
        <f t="shared" si="23"/>
        <v>557.6865165165168</v>
      </c>
    </row>
    <row r="354" spans="1:22" x14ac:dyDescent="0.25">
      <c r="A354">
        <v>3822</v>
      </c>
      <c r="B354" s="1">
        <v>43732</v>
      </c>
      <c r="C354" t="s">
        <v>43</v>
      </c>
      <c r="D354" t="s">
        <v>18</v>
      </c>
      <c r="E354" t="s">
        <v>32</v>
      </c>
      <c r="F354" t="s">
        <v>33</v>
      </c>
      <c r="G354" t="s">
        <v>76</v>
      </c>
      <c r="H354" t="s">
        <v>38</v>
      </c>
      <c r="I354" t="s">
        <v>23</v>
      </c>
      <c r="J354" t="s">
        <v>30</v>
      </c>
      <c r="K354" t="s">
        <v>25</v>
      </c>
      <c r="L354">
        <v>4</v>
      </c>
      <c r="M354">
        <v>4</v>
      </c>
      <c r="N354">
        <v>5</v>
      </c>
      <c r="O354">
        <v>5</v>
      </c>
      <c r="P354">
        <v>357.58</v>
      </c>
      <c r="Q354">
        <v>44</v>
      </c>
      <c r="S354">
        <f t="shared" si="20"/>
        <v>557.6865165165168</v>
      </c>
      <c r="T354">
        <f t="shared" si="21"/>
        <v>153</v>
      </c>
      <c r="U354">
        <f t="shared" si="22"/>
        <v>1.9139139139139139</v>
      </c>
      <c r="V354">
        <f t="shared" si="23"/>
        <v>557.6865165165168</v>
      </c>
    </row>
    <row r="355" spans="1:22" x14ac:dyDescent="0.25">
      <c r="A355">
        <v>3823</v>
      </c>
      <c r="B355" s="1">
        <v>44851</v>
      </c>
      <c r="C355" t="s">
        <v>37</v>
      </c>
      <c r="D355" t="s">
        <v>18</v>
      </c>
      <c r="E355" t="s">
        <v>32</v>
      </c>
      <c r="F355" t="s">
        <v>27</v>
      </c>
      <c r="G355" t="s">
        <v>76</v>
      </c>
      <c r="H355" t="s">
        <v>66</v>
      </c>
      <c r="I355" t="s">
        <v>23</v>
      </c>
      <c r="J355" t="s">
        <v>30</v>
      </c>
      <c r="K355" t="s">
        <v>64</v>
      </c>
      <c r="L355">
        <v>5</v>
      </c>
      <c r="M355">
        <v>4</v>
      </c>
      <c r="N355">
        <v>1</v>
      </c>
      <c r="O355">
        <v>4</v>
      </c>
      <c r="P355">
        <v>516.9</v>
      </c>
      <c r="Q355">
        <v>35</v>
      </c>
      <c r="S355">
        <f t="shared" si="20"/>
        <v>557.6865165165168</v>
      </c>
      <c r="T355">
        <f t="shared" si="21"/>
        <v>153</v>
      </c>
      <c r="U355">
        <f t="shared" si="22"/>
        <v>1.9139139139139139</v>
      </c>
      <c r="V355">
        <f t="shared" si="23"/>
        <v>557.6865165165168</v>
      </c>
    </row>
    <row r="356" spans="1:22" x14ac:dyDescent="0.25">
      <c r="A356">
        <v>3824</v>
      </c>
      <c r="B356" s="1">
        <v>43837</v>
      </c>
      <c r="C356" t="s">
        <v>52</v>
      </c>
      <c r="D356" t="s">
        <v>18</v>
      </c>
      <c r="E356" t="s">
        <v>19</v>
      </c>
      <c r="F356" t="s">
        <v>20</v>
      </c>
      <c r="G356" t="s">
        <v>61</v>
      </c>
      <c r="H356" t="s">
        <v>35</v>
      </c>
      <c r="I356" t="s">
        <v>23</v>
      </c>
      <c r="J356" t="s">
        <v>30</v>
      </c>
      <c r="K356" t="s">
        <v>25</v>
      </c>
      <c r="L356">
        <v>4</v>
      </c>
      <c r="M356">
        <v>4</v>
      </c>
      <c r="N356">
        <v>5</v>
      </c>
      <c r="O356">
        <v>5</v>
      </c>
      <c r="P356">
        <v>200.23</v>
      </c>
      <c r="Q356">
        <v>72</v>
      </c>
      <c r="S356">
        <f t="shared" si="20"/>
        <v>557.6865165165168</v>
      </c>
      <c r="T356">
        <f t="shared" si="21"/>
        <v>153</v>
      </c>
      <c r="U356">
        <f t="shared" si="22"/>
        <v>1.9139139139139139</v>
      </c>
      <c r="V356">
        <f t="shared" si="23"/>
        <v>557.6865165165168</v>
      </c>
    </row>
    <row r="357" spans="1:22" x14ac:dyDescent="0.25">
      <c r="A357">
        <v>3825</v>
      </c>
      <c r="B357" s="1">
        <v>44870</v>
      </c>
      <c r="C357" t="s">
        <v>60</v>
      </c>
      <c r="D357" t="s">
        <v>18</v>
      </c>
      <c r="E357" t="s">
        <v>32</v>
      </c>
      <c r="F357" t="s">
        <v>27</v>
      </c>
      <c r="G357" t="s">
        <v>61</v>
      </c>
      <c r="H357" t="s">
        <v>41</v>
      </c>
      <c r="I357" t="s">
        <v>23</v>
      </c>
      <c r="J357" t="s">
        <v>30</v>
      </c>
      <c r="K357" t="s">
        <v>25</v>
      </c>
      <c r="L357">
        <v>4</v>
      </c>
      <c r="M357">
        <v>4</v>
      </c>
      <c r="N357">
        <v>2</v>
      </c>
      <c r="O357">
        <v>1</v>
      </c>
      <c r="P357">
        <v>728.77</v>
      </c>
      <c r="Q357">
        <v>24</v>
      </c>
      <c r="S357">
        <f t="shared" si="20"/>
        <v>557.6865165165168</v>
      </c>
      <c r="T357">
        <f t="shared" si="21"/>
        <v>153</v>
      </c>
      <c r="U357">
        <f t="shared" si="22"/>
        <v>1.9139139139139139</v>
      </c>
      <c r="V357">
        <f t="shared" si="23"/>
        <v>557.6865165165168</v>
      </c>
    </row>
    <row r="358" spans="1:22" x14ac:dyDescent="0.25">
      <c r="A358">
        <v>3826</v>
      </c>
      <c r="B358" s="1">
        <v>45042</v>
      </c>
      <c r="C358" t="s">
        <v>31</v>
      </c>
      <c r="D358" t="s">
        <v>18</v>
      </c>
      <c r="E358" t="s">
        <v>28</v>
      </c>
      <c r="F358" t="s">
        <v>33</v>
      </c>
      <c r="G358" t="s">
        <v>61</v>
      </c>
      <c r="H358" t="s">
        <v>41</v>
      </c>
      <c r="I358" t="s">
        <v>23</v>
      </c>
      <c r="J358" t="s">
        <v>30</v>
      </c>
      <c r="K358" t="s">
        <v>25</v>
      </c>
      <c r="L358">
        <v>2</v>
      </c>
      <c r="M358">
        <v>1</v>
      </c>
      <c r="N358">
        <v>3</v>
      </c>
      <c r="O358">
        <v>4</v>
      </c>
      <c r="P358">
        <v>286.12</v>
      </c>
      <c r="Q358">
        <v>22</v>
      </c>
      <c r="S358">
        <f t="shared" si="20"/>
        <v>557.6865165165168</v>
      </c>
      <c r="T358">
        <f t="shared" si="21"/>
        <v>153</v>
      </c>
      <c r="U358">
        <f t="shared" si="22"/>
        <v>1.9139139139139139</v>
      </c>
      <c r="V358">
        <f t="shared" si="23"/>
        <v>557.6865165165168</v>
      </c>
    </row>
    <row r="359" spans="1:22" x14ac:dyDescent="0.25">
      <c r="A359">
        <v>3827</v>
      </c>
      <c r="B359" s="1">
        <v>43614</v>
      </c>
      <c r="C359" t="s">
        <v>49</v>
      </c>
      <c r="D359" t="s">
        <v>18</v>
      </c>
      <c r="E359" t="s">
        <v>28</v>
      </c>
      <c r="F359" t="s">
        <v>33</v>
      </c>
      <c r="G359" t="s">
        <v>61</v>
      </c>
      <c r="H359" t="s">
        <v>44</v>
      </c>
      <c r="I359" t="s">
        <v>23</v>
      </c>
      <c r="J359" t="s">
        <v>30</v>
      </c>
      <c r="K359" t="s">
        <v>25</v>
      </c>
      <c r="L359">
        <v>3</v>
      </c>
      <c r="M359">
        <v>3</v>
      </c>
      <c r="N359">
        <v>4</v>
      </c>
      <c r="O359">
        <v>5</v>
      </c>
      <c r="P359">
        <v>997.15</v>
      </c>
      <c r="Q359">
        <v>27</v>
      </c>
      <c r="S359">
        <f t="shared" si="20"/>
        <v>557.6865165165168</v>
      </c>
      <c r="T359">
        <f t="shared" si="21"/>
        <v>153</v>
      </c>
      <c r="U359">
        <f t="shared" si="22"/>
        <v>1.9139139139139139</v>
      </c>
      <c r="V359">
        <f t="shared" si="23"/>
        <v>557.6865165165168</v>
      </c>
    </row>
    <row r="360" spans="1:22" x14ac:dyDescent="0.25">
      <c r="A360">
        <v>3828</v>
      </c>
      <c r="B360" s="1">
        <v>43720</v>
      </c>
      <c r="C360" t="s">
        <v>31</v>
      </c>
      <c r="D360" t="s">
        <v>18</v>
      </c>
      <c r="E360" t="s">
        <v>28</v>
      </c>
      <c r="F360" t="s">
        <v>27</v>
      </c>
      <c r="G360" t="s">
        <v>61</v>
      </c>
      <c r="H360" t="s">
        <v>29</v>
      </c>
      <c r="I360" t="s">
        <v>23</v>
      </c>
      <c r="J360" t="s">
        <v>30</v>
      </c>
      <c r="K360" t="s">
        <v>25</v>
      </c>
      <c r="L360">
        <v>2</v>
      </c>
      <c r="M360">
        <v>5</v>
      </c>
      <c r="N360">
        <v>1</v>
      </c>
      <c r="O360">
        <v>2</v>
      </c>
      <c r="P360">
        <v>984.63</v>
      </c>
      <c r="Q360">
        <v>29</v>
      </c>
      <c r="S360">
        <f t="shared" si="20"/>
        <v>557.6865165165168</v>
      </c>
      <c r="T360">
        <f t="shared" si="21"/>
        <v>153</v>
      </c>
      <c r="U360">
        <f t="shared" si="22"/>
        <v>1.9139139139139139</v>
      </c>
      <c r="V360">
        <f t="shared" si="23"/>
        <v>557.6865165165168</v>
      </c>
    </row>
    <row r="361" spans="1:22" x14ac:dyDescent="0.25">
      <c r="A361">
        <v>3829</v>
      </c>
      <c r="B361" s="1">
        <v>43492</v>
      </c>
      <c r="C361" t="s">
        <v>40</v>
      </c>
      <c r="D361" t="s">
        <v>18</v>
      </c>
      <c r="E361" t="s">
        <v>28</v>
      </c>
      <c r="F361" t="s">
        <v>20</v>
      </c>
      <c r="G361" t="s">
        <v>61</v>
      </c>
      <c r="H361" t="s">
        <v>62</v>
      </c>
      <c r="I361" t="s">
        <v>23</v>
      </c>
      <c r="J361" t="s">
        <v>30</v>
      </c>
      <c r="K361" t="s">
        <v>46</v>
      </c>
      <c r="L361">
        <v>3</v>
      </c>
      <c r="M361">
        <v>2</v>
      </c>
      <c r="N361">
        <v>1</v>
      </c>
      <c r="O361">
        <v>5</v>
      </c>
      <c r="P361">
        <v>233.67</v>
      </c>
      <c r="Q361">
        <v>63</v>
      </c>
      <c r="S361">
        <f t="shared" si="20"/>
        <v>557.6865165165168</v>
      </c>
      <c r="T361">
        <f t="shared" si="21"/>
        <v>153</v>
      </c>
      <c r="U361">
        <f t="shared" si="22"/>
        <v>1.9139139139139139</v>
      </c>
      <c r="V361">
        <f t="shared" si="23"/>
        <v>557.6865165165168</v>
      </c>
    </row>
    <row r="362" spans="1:22" x14ac:dyDescent="0.25">
      <c r="A362">
        <v>3830</v>
      </c>
      <c r="B362" s="1">
        <v>43697</v>
      </c>
      <c r="C362" t="s">
        <v>17</v>
      </c>
      <c r="D362" t="s">
        <v>18</v>
      </c>
      <c r="E362" t="s">
        <v>28</v>
      </c>
      <c r="F362" t="s">
        <v>20</v>
      </c>
      <c r="G362" t="s">
        <v>61</v>
      </c>
      <c r="H362" t="s">
        <v>41</v>
      </c>
      <c r="I362" t="s">
        <v>42</v>
      </c>
      <c r="J362" t="s">
        <v>30</v>
      </c>
      <c r="K362" t="s">
        <v>72</v>
      </c>
      <c r="L362">
        <v>1</v>
      </c>
      <c r="M362">
        <v>1</v>
      </c>
      <c r="N362">
        <v>3</v>
      </c>
      <c r="O362">
        <v>3</v>
      </c>
      <c r="P362">
        <v>142.41999999999999</v>
      </c>
      <c r="Q362">
        <v>72</v>
      </c>
      <c r="S362">
        <f t="shared" si="20"/>
        <v>557.6865165165168</v>
      </c>
      <c r="T362">
        <f t="shared" si="21"/>
        <v>153</v>
      </c>
      <c r="U362">
        <f t="shared" si="22"/>
        <v>1.9139139139139139</v>
      </c>
      <c r="V362">
        <f t="shared" si="23"/>
        <v>557.6865165165168</v>
      </c>
    </row>
    <row r="363" spans="1:22" x14ac:dyDescent="0.25">
      <c r="A363">
        <v>3831</v>
      </c>
      <c r="B363" s="1">
        <v>43357</v>
      </c>
      <c r="C363" t="s">
        <v>52</v>
      </c>
      <c r="D363" t="s">
        <v>18</v>
      </c>
      <c r="E363" t="s">
        <v>28</v>
      </c>
      <c r="F363" t="s">
        <v>20</v>
      </c>
      <c r="G363" t="s">
        <v>61</v>
      </c>
      <c r="H363" t="s">
        <v>41</v>
      </c>
      <c r="I363" t="s">
        <v>42</v>
      </c>
      <c r="J363" t="s">
        <v>24</v>
      </c>
      <c r="K363" t="s">
        <v>64</v>
      </c>
      <c r="L363">
        <v>3</v>
      </c>
      <c r="M363">
        <v>2</v>
      </c>
      <c r="N363">
        <v>5</v>
      </c>
      <c r="O363">
        <v>2</v>
      </c>
      <c r="P363">
        <v>784.73</v>
      </c>
      <c r="Q363">
        <v>68</v>
      </c>
      <c r="S363">
        <f t="shared" si="20"/>
        <v>557.6865165165168</v>
      </c>
      <c r="T363">
        <f t="shared" si="21"/>
        <v>153</v>
      </c>
      <c r="U363">
        <f t="shared" si="22"/>
        <v>1.9139139139139139</v>
      </c>
      <c r="V363">
        <f t="shared" si="23"/>
        <v>557.6865165165168</v>
      </c>
    </row>
    <row r="364" spans="1:22" x14ac:dyDescent="0.25">
      <c r="A364">
        <v>3833</v>
      </c>
      <c r="B364" s="1">
        <v>44587</v>
      </c>
      <c r="C364" t="s">
        <v>60</v>
      </c>
      <c r="D364" t="s">
        <v>18</v>
      </c>
      <c r="E364" t="s">
        <v>32</v>
      </c>
      <c r="F364" t="s">
        <v>27</v>
      </c>
      <c r="G364" t="s">
        <v>76</v>
      </c>
      <c r="H364" t="s">
        <v>41</v>
      </c>
      <c r="I364" t="s">
        <v>23</v>
      </c>
      <c r="J364" t="s">
        <v>30</v>
      </c>
      <c r="K364" t="s">
        <v>72</v>
      </c>
      <c r="L364">
        <v>3</v>
      </c>
      <c r="M364">
        <v>5</v>
      </c>
      <c r="N364">
        <v>2</v>
      </c>
      <c r="O364">
        <v>2</v>
      </c>
      <c r="P364">
        <v>409.16</v>
      </c>
      <c r="Q364">
        <v>69</v>
      </c>
      <c r="S364">
        <f t="shared" si="20"/>
        <v>557.6865165165168</v>
      </c>
      <c r="T364">
        <f t="shared" si="21"/>
        <v>153</v>
      </c>
      <c r="U364">
        <f t="shared" si="22"/>
        <v>1.9139139139139139</v>
      </c>
      <c r="V364">
        <f t="shared" si="23"/>
        <v>557.6865165165168</v>
      </c>
    </row>
    <row r="365" spans="1:22" x14ac:dyDescent="0.25">
      <c r="A365">
        <v>3834</v>
      </c>
      <c r="B365" s="1">
        <v>43595</v>
      </c>
      <c r="C365" t="s">
        <v>43</v>
      </c>
      <c r="D365" t="s">
        <v>18</v>
      </c>
      <c r="E365" t="s">
        <v>19</v>
      </c>
      <c r="F365" t="s">
        <v>20</v>
      </c>
      <c r="G365" t="s">
        <v>76</v>
      </c>
      <c r="H365" t="s">
        <v>41</v>
      </c>
      <c r="I365" t="s">
        <v>23</v>
      </c>
      <c r="J365" t="s">
        <v>30</v>
      </c>
      <c r="K365" t="s">
        <v>25</v>
      </c>
      <c r="L365">
        <v>3</v>
      </c>
      <c r="M365">
        <v>5</v>
      </c>
      <c r="N365">
        <v>5</v>
      </c>
      <c r="O365">
        <v>1</v>
      </c>
      <c r="P365">
        <v>700.53</v>
      </c>
      <c r="Q365">
        <v>58</v>
      </c>
      <c r="S365">
        <f t="shared" si="20"/>
        <v>557.6865165165168</v>
      </c>
      <c r="T365">
        <f t="shared" si="21"/>
        <v>153</v>
      </c>
      <c r="U365">
        <f t="shared" si="22"/>
        <v>1.9139139139139139</v>
      </c>
      <c r="V365">
        <f t="shared" si="23"/>
        <v>557.6865165165168</v>
      </c>
    </row>
    <row r="366" spans="1:22" x14ac:dyDescent="0.25">
      <c r="A366">
        <v>3835</v>
      </c>
      <c r="B366" s="1">
        <v>43467</v>
      </c>
      <c r="C366" t="s">
        <v>49</v>
      </c>
      <c r="D366" t="s">
        <v>18</v>
      </c>
      <c r="E366" t="s">
        <v>28</v>
      </c>
      <c r="F366" t="s">
        <v>33</v>
      </c>
      <c r="G366" t="s">
        <v>61</v>
      </c>
      <c r="H366" t="s">
        <v>71</v>
      </c>
      <c r="I366" t="s">
        <v>23</v>
      </c>
      <c r="J366" t="s">
        <v>30</v>
      </c>
      <c r="K366" t="s">
        <v>25</v>
      </c>
      <c r="L366">
        <v>5</v>
      </c>
      <c r="M366">
        <v>3</v>
      </c>
      <c r="N366">
        <v>1</v>
      </c>
      <c r="O366">
        <v>3</v>
      </c>
      <c r="P366">
        <v>439.63</v>
      </c>
      <c r="Q366">
        <v>26</v>
      </c>
      <c r="S366">
        <f t="shared" si="20"/>
        <v>557.6865165165168</v>
      </c>
      <c r="T366">
        <f t="shared" si="21"/>
        <v>153</v>
      </c>
      <c r="U366">
        <f t="shared" si="22"/>
        <v>1.9139139139139139</v>
      </c>
      <c r="V366">
        <f t="shared" si="23"/>
        <v>557.6865165165168</v>
      </c>
    </row>
    <row r="367" spans="1:22" x14ac:dyDescent="0.25">
      <c r="A367">
        <v>3836</v>
      </c>
      <c r="B367" s="1">
        <v>44421</v>
      </c>
      <c r="C367" t="s">
        <v>31</v>
      </c>
      <c r="D367" t="s">
        <v>18</v>
      </c>
      <c r="E367" t="s">
        <v>19</v>
      </c>
      <c r="F367" t="s">
        <v>27</v>
      </c>
      <c r="G367" t="s">
        <v>61</v>
      </c>
      <c r="H367" t="s">
        <v>38</v>
      </c>
      <c r="I367" t="s">
        <v>23</v>
      </c>
      <c r="J367" t="s">
        <v>30</v>
      </c>
      <c r="K367" t="s">
        <v>25</v>
      </c>
      <c r="L367">
        <v>2</v>
      </c>
      <c r="M367">
        <v>3</v>
      </c>
      <c r="N367">
        <v>5</v>
      </c>
      <c r="O367">
        <v>3</v>
      </c>
      <c r="P367">
        <v>830.78</v>
      </c>
      <c r="Q367">
        <v>75</v>
      </c>
      <c r="S367">
        <f t="shared" si="20"/>
        <v>557.6865165165168</v>
      </c>
      <c r="T367">
        <f t="shared" si="21"/>
        <v>153</v>
      </c>
      <c r="U367">
        <f t="shared" si="22"/>
        <v>1.9139139139139139</v>
      </c>
      <c r="V367">
        <f t="shared" si="23"/>
        <v>557.6865165165168</v>
      </c>
    </row>
    <row r="368" spans="1:22" x14ac:dyDescent="0.25">
      <c r="A368">
        <v>3837</v>
      </c>
      <c r="B368" s="1">
        <v>44836</v>
      </c>
      <c r="C368" t="s">
        <v>40</v>
      </c>
      <c r="D368" t="s">
        <v>18</v>
      </c>
      <c r="E368" t="s">
        <v>28</v>
      </c>
      <c r="F368" t="s">
        <v>27</v>
      </c>
      <c r="G368" t="s">
        <v>61</v>
      </c>
      <c r="H368" t="s">
        <v>22</v>
      </c>
      <c r="I368" t="s">
        <v>23</v>
      </c>
      <c r="J368" t="s">
        <v>30</v>
      </c>
      <c r="K368" t="s">
        <v>72</v>
      </c>
      <c r="L368">
        <v>5</v>
      </c>
      <c r="M368">
        <v>3</v>
      </c>
      <c r="N368">
        <v>1</v>
      </c>
      <c r="O368">
        <v>3</v>
      </c>
      <c r="P368">
        <v>320.33999999999997</v>
      </c>
      <c r="Q368">
        <v>66</v>
      </c>
      <c r="S368">
        <f t="shared" si="20"/>
        <v>557.6865165165168</v>
      </c>
      <c r="T368">
        <f t="shared" si="21"/>
        <v>153</v>
      </c>
      <c r="U368">
        <f t="shared" si="22"/>
        <v>1.9139139139139139</v>
      </c>
      <c r="V368">
        <f t="shared" si="23"/>
        <v>557.6865165165168</v>
      </c>
    </row>
    <row r="369" spans="1:22" x14ac:dyDescent="0.25">
      <c r="A369">
        <v>3838</v>
      </c>
      <c r="B369" s="1">
        <v>43451</v>
      </c>
      <c r="C369" t="s">
        <v>17</v>
      </c>
      <c r="D369" t="s">
        <v>18</v>
      </c>
      <c r="E369" t="s">
        <v>28</v>
      </c>
      <c r="F369" t="s">
        <v>27</v>
      </c>
      <c r="G369" t="s">
        <v>61</v>
      </c>
      <c r="H369" t="s">
        <v>41</v>
      </c>
      <c r="I369" t="s">
        <v>23</v>
      </c>
      <c r="J369" t="s">
        <v>24</v>
      </c>
      <c r="K369" t="s">
        <v>72</v>
      </c>
      <c r="L369">
        <v>1</v>
      </c>
      <c r="M369">
        <v>1</v>
      </c>
      <c r="N369">
        <v>2</v>
      </c>
      <c r="O369">
        <v>2</v>
      </c>
      <c r="P369">
        <v>510.23</v>
      </c>
      <c r="Q369">
        <v>39</v>
      </c>
      <c r="S369">
        <f t="shared" si="20"/>
        <v>557.6865165165168</v>
      </c>
      <c r="T369">
        <f t="shared" si="21"/>
        <v>153</v>
      </c>
      <c r="U369">
        <f t="shared" si="22"/>
        <v>1.9139139139139139</v>
      </c>
      <c r="V369">
        <f t="shared" si="23"/>
        <v>557.6865165165168</v>
      </c>
    </row>
    <row r="370" spans="1:22" x14ac:dyDescent="0.25">
      <c r="A370">
        <v>3839</v>
      </c>
      <c r="B370" s="1">
        <v>44480</v>
      </c>
      <c r="C370" t="s">
        <v>31</v>
      </c>
      <c r="D370" t="s">
        <v>18</v>
      </c>
      <c r="E370" t="s">
        <v>19</v>
      </c>
      <c r="F370" t="s">
        <v>33</v>
      </c>
      <c r="G370" t="s">
        <v>61</v>
      </c>
      <c r="H370" t="s">
        <v>38</v>
      </c>
      <c r="I370" t="s">
        <v>23</v>
      </c>
      <c r="J370" t="s">
        <v>30</v>
      </c>
      <c r="K370" t="s">
        <v>72</v>
      </c>
      <c r="L370">
        <v>3</v>
      </c>
      <c r="M370">
        <v>3</v>
      </c>
      <c r="N370">
        <v>4</v>
      </c>
      <c r="O370">
        <v>4</v>
      </c>
      <c r="P370">
        <v>403</v>
      </c>
      <c r="Q370">
        <v>21</v>
      </c>
      <c r="S370">
        <f t="shared" si="20"/>
        <v>557.6865165165168</v>
      </c>
      <c r="T370">
        <f t="shared" si="21"/>
        <v>153</v>
      </c>
      <c r="U370">
        <f t="shared" si="22"/>
        <v>1.9139139139139139</v>
      </c>
      <c r="V370">
        <f t="shared" si="23"/>
        <v>557.6865165165168</v>
      </c>
    </row>
    <row r="371" spans="1:22" x14ac:dyDescent="0.25">
      <c r="A371">
        <v>3840</v>
      </c>
      <c r="B371" s="1">
        <v>45017</v>
      </c>
      <c r="C371" t="s">
        <v>40</v>
      </c>
      <c r="D371" t="s">
        <v>18</v>
      </c>
      <c r="E371" t="s">
        <v>28</v>
      </c>
      <c r="F371" t="s">
        <v>33</v>
      </c>
      <c r="G371" t="s">
        <v>61</v>
      </c>
      <c r="H371" t="s">
        <v>41</v>
      </c>
      <c r="I371" t="s">
        <v>23</v>
      </c>
      <c r="J371" t="s">
        <v>30</v>
      </c>
      <c r="K371" t="s">
        <v>25</v>
      </c>
      <c r="L371">
        <v>1</v>
      </c>
      <c r="M371">
        <v>5</v>
      </c>
      <c r="N371">
        <v>4</v>
      </c>
      <c r="O371">
        <v>4</v>
      </c>
      <c r="P371">
        <v>170.61</v>
      </c>
      <c r="Q371">
        <v>54</v>
      </c>
      <c r="S371">
        <f t="shared" si="20"/>
        <v>557.6865165165168</v>
      </c>
      <c r="T371">
        <f t="shared" si="21"/>
        <v>153</v>
      </c>
      <c r="U371">
        <f t="shared" si="22"/>
        <v>1.9139139139139139</v>
      </c>
      <c r="V371">
        <f t="shared" si="23"/>
        <v>557.6865165165168</v>
      </c>
    </row>
    <row r="372" spans="1:22" x14ac:dyDescent="0.25">
      <c r="A372">
        <v>3841</v>
      </c>
      <c r="B372" s="1">
        <v>44275</v>
      </c>
      <c r="C372" t="s">
        <v>17</v>
      </c>
      <c r="D372" t="s">
        <v>18</v>
      </c>
      <c r="E372" t="s">
        <v>32</v>
      </c>
      <c r="F372" t="s">
        <v>20</v>
      </c>
      <c r="G372" t="s">
        <v>61</v>
      </c>
      <c r="H372" t="s">
        <v>67</v>
      </c>
      <c r="I372" t="s">
        <v>42</v>
      </c>
      <c r="J372" t="s">
        <v>30</v>
      </c>
      <c r="K372" t="s">
        <v>25</v>
      </c>
      <c r="L372">
        <v>5</v>
      </c>
      <c r="M372">
        <v>4</v>
      </c>
      <c r="N372">
        <v>4</v>
      </c>
      <c r="O372">
        <v>4</v>
      </c>
      <c r="P372">
        <v>872.91</v>
      </c>
      <c r="Q372">
        <v>51</v>
      </c>
      <c r="S372">
        <f t="shared" si="20"/>
        <v>557.6865165165168</v>
      </c>
      <c r="T372">
        <f t="shared" si="21"/>
        <v>153</v>
      </c>
      <c r="U372">
        <f t="shared" si="22"/>
        <v>1.9139139139139139</v>
      </c>
      <c r="V372">
        <f t="shared" si="23"/>
        <v>557.6865165165168</v>
      </c>
    </row>
    <row r="373" spans="1:22" x14ac:dyDescent="0.25">
      <c r="A373">
        <v>3844</v>
      </c>
      <c r="B373" s="1">
        <v>44357</v>
      </c>
      <c r="C373" t="s">
        <v>60</v>
      </c>
      <c r="D373" t="s">
        <v>18</v>
      </c>
      <c r="E373" t="s">
        <v>28</v>
      </c>
      <c r="F373" t="s">
        <v>20</v>
      </c>
      <c r="G373" t="s">
        <v>76</v>
      </c>
      <c r="H373" t="s">
        <v>38</v>
      </c>
      <c r="I373" t="s">
        <v>23</v>
      </c>
      <c r="J373" t="s">
        <v>30</v>
      </c>
      <c r="K373" t="s">
        <v>72</v>
      </c>
      <c r="L373">
        <v>3</v>
      </c>
      <c r="M373">
        <v>2</v>
      </c>
      <c r="N373">
        <v>5</v>
      </c>
      <c r="O373">
        <v>5</v>
      </c>
      <c r="P373">
        <v>603.66999999999996</v>
      </c>
      <c r="Q373">
        <v>60</v>
      </c>
      <c r="S373">
        <f t="shared" si="20"/>
        <v>557.6865165165168</v>
      </c>
      <c r="T373">
        <f t="shared" si="21"/>
        <v>153</v>
      </c>
      <c r="U373">
        <f t="shared" si="22"/>
        <v>1.9139139139139139</v>
      </c>
      <c r="V373">
        <f t="shared" si="23"/>
        <v>557.6865165165168</v>
      </c>
    </row>
    <row r="374" spans="1:22" x14ac:dyDescent="0.25">
      <c r="A374">
        <v>3845</v>
      </c>
      <c r="B374" s="1">
        <v>43702</v>
      </c>
      <c r="C374" t="s">
        <v>43</v>
      </c>
      <c r="D374" t="s">
        <v>18</v>
      </c>
      <c r="E374" t="s">
        <v>19</v>
      </c>
      <c r="F374" t="s">
        <v>27</v>
      </c>
      <c r="G374" t="s">
        <v>76</v>
      </c>
      <c r="H374" t="s">
        <v>41</v>
      </c>
      <c r="I374" t="s">
        <v>23</v>
      </c>
      <c r="J374" t="s">
        <v>30</v>
      </c>
      <c r="K374" t="s">
        <v>72</v>
      </c>
      <c r="L374">
        <v>4</v>
      </c>
      <c r="M374">
        <v>5</v>
      </c>
      <c r="N374">
        <v>3</v>
      </c>
      <c r="O374">
        <v>5</v>
      </c>
      <c r="P374">
        <v>546.24</v>
      </c>
      <c r="Q374">
        <v>50</v>
      </c>
      <c r="S374">
        <f t="shared" si="20"/>
        <v>557.6865165165168</v>
      </c>
      <c r="T374">
        <f t="shared" si="21"/>
        <v>153</v>
      </c>
      <c r="U374">
        <f t="shared" si="22"/>
        <v>1.9139139139139139</v>
      </c>
      <c r="V374">
        <f t="shared" si="23"/>
        <v>557.6865165165168</v>
      </c>
    </row>
    <row r="375" spans="1:22" x14ac:dyDescent="0.25">
      <c r="A375">
        <v>3846</v>
      </c>
      <c r="B375" s="1">
        <v>43955</v>
      </c>
      <c r="C375" t="s">
        <v>49</v>
      </c>
      <c r="D375" t="s">
        <v>18</v>
      </c>
      <c r="E375" t="s">
        <v>19</v>
      </c>
      <c r="F375" t="s">
        <v>20</v>
      </c>
      <c r="G375" t="s">
        <v>61</v>
      </c>
      <c r="H375" t="s">
        <v>67</v>
      </c>
      <c r="I375" t="s">
        <v>23</v>
      </c>
      <c r="J375" t="s">
        <v>30</v>
      </c>
      <c r="K375" t="s">
        <v>25</v>
      </c>
      <c r="L375">
        <v>4</v>
      </c>
      <c r="M375">
        <v>5</v>
      </c>
      <c r="N375">
        <v>1</v>
      </c>
      <c r="O375">
        <v>4</v>
      </c>
      <c r="P375">
        <v>607.97</v>
      </c>
      <c r="Q375">
        <v>45</v>
      </c>
      <c r="S375">
        <f t="shared" si="20"/>
        <v>557.6865165165168</v>
      </c>
      <c r="T375">
        <f t="shared" si="21"/>
        <v>153</v>
      </c>
      <c r="U375">
        <f t="shared" si="22"/>
        <v>1.9139139139139139</v>
      </c>
      <c r="V375">
        <f t="shared" si="23"/>
        <v>557.6865165165168</v>
      </c>
    </row>
    <row r="376" spans="1:22" x14ac:dyDescent="0.25">
      <c r="A376">
        <v>3847</v>
      </c>
      <c r="B376" s="1">
        <v>43520</v>
      </c>
      <c r="C376" t="s">
        <v>31</v>
      </c>
      <c r="D376" t="s">
        <v>18</v>
      </c>
      <c r="E376" t="s">
        <v>28</v>
      </c>
      <c r="F376" t="s">
        <v>33</v>
      </c>
      <c r="G376" t="s">
        <v>61</v>
      </c>
      <c r="H376" t="s">
        <v>41</v>
      </c>
      <c r="I376" t="s">
        <v>23</v>
      </c>
      <c r="J376" t="s">
        <v>30</v>
      </c>
      <c r="K376" t="s">
        <v>25</v>
      </c>
      <c r="L376">
        <v>5</v>
      </c>
      <c r="M376">
        <v>3</v>
      </c>
      <c r="N376">
        <v>1</v>
      </c>
      <c r="O376">
        <v>4</v>
      </c>
      <c r="P376">
        <v>130.59</v>
      </c>
      <c r="Q376">
        <v>21</v>
      </c>
      <c r="S376">
        <f t="shared" si="20"/>
        <v>557.6865165165168</v>
      </c>
      <c r="T376">
        <f t="shared" si="21"/>
        <v>153</v>
      </c>
      <c r="U376">
        <f t="shared" si="22"/>
        <v>1.9139139139139139</v>
      </c>
      <c r="V376">
        <f t="shared" si="23"/>
        <v>557.6865165165168</v>
      </c>
    </row>
    <row r="377" spans="1:22" x14ac:dyDescent="0.25">
      <c r="A377">
        <v>3848</v>
      </c>
      <c r="B377" s="1">
        <v>43732</v>
      </c>
      <c r="C377" t="s">
        <v>40</v>
      </c>
      <c r="D377" t="s">
        <v>18</v>
      </c>
      <c r="E377" t="s">
        <v>32</v>
      </c>
      <c r="F377" t="s">
        <v>20</v>
      </c>
      <c r="G377" t="s">
        <v>61</v>
      </c>
      <c r="H377" t="s">
        <v>41</v>
      </c>
      <c r="I377" t="s">
        <v>23</v>
      </c>
      <c r="J377" t="s">
        <v>30</v>
      </c>
      <c r="K377" t="s">
        <v>25</v>
      </c>
      <c r="L377">
        <v>5</v>
      </c>
      <c r="M377">
        <v>1</v>
      </c>
      <c r="N377">
        <v>4</v>
      </c>
      <c r="O377">
        <v>2</v>
      </c>
      <c r="P377">
        <v>443.56</v>
      </c>
      <c r="Q377">
        <v>23</v>
      </c>
      <c r="S377">
        <f t="shared" si="20"/>
        <v>557.6865165165168</v>
      </c>
      <c r="T377">
        <f t="shared" si="21"/>
        <v>153</v>
      </c>
      <c r="U377">
        <f t="shared" si="22"/>
        <v>1.9139139139139139</v>
      </c>
      <c r="V377">
        <f t="shared" si="23"/>
        <v>557.6865165165168</v>
      </c>
    </row>
    <row r="378" spans="1:22" x14ac:dyDescent="0.25">
      <c r="A378">
        <v>3849</v>
      </c>
      <c r="B378" s="1">
        <v>44240</v>
      </c>
      <c r="C378" t="s">
        <v>17</v>
      </c>
      <c r="D378" t="s">
        <v>18</v>
      </c>
      <c r="E378" t="s">
        <v>19</v>
      </c>
      <c r="F378" t="s">
        <v>27</v>
      </c>
      <c r="G378" t="s">
        <v>61</v>
      </c>
      <c r="H378" t="s">
        <v>38</v>
      </c>
      <c r="I378" t="s">
        <v>23</v>
      </c>
      <c r="J378" t="s">
        <v>24</v>
      </c>
      <c r="K378" t="s">
        <v>25</v>
      </c>
      <c r="L378">
        <v>3</v>
      </c>
      <c r="M378">
        <v>3</v>
      </c>
      <c r="N378">
        <v>1</v>
      </c>
      <c r="O378">
        <v>3</v>
      </c>
      <c r="P378">
        <v>436.47</v>
      </c>
      <c r="Q378">
        <v>42</v>
      </c>
      <c r="S378">
        <f t="shared" si="20"/>
        <v>557.6865165165168</v>
      </c>
      <c r="T378">
        <f t="shared" si="21"/>
        <v>153</v>
      </c>
      <c r="U378">
        <f t="shared" si="22"/>
        <v>1.9139139139139139</v>
      </c>
      <c r="V378">
        <f t="shared" si="23"/>
        <v>557.6865165165168</v>
      </c>
    </row>
    <row r="379" spans="1:22" x14ac:dyDescent="0.25">
      <c r="A379">
        <v>3850</v>
      </c>
      <c r="B379" s="1">
        <v>43835</v>
      </c>
      <c r="C379" t="s">
        <v>54</v>
      </c>
      <c r="D379" t="s">
        <v>18</v>
      </c>
      <c r="E379" t="s">
        <v>28</v>
      </c>
      <c r="F379" t="s">
        <v>33</v>
      </c>
      <c r="G379" t="s">
        <v>61</v>
      </c>
      <c r="H379" t="s">
        <v>71</v>
      </c>
      <c r="I379" t="s">
        <v>23</v>
      </c>
      <c r="J379" t="s">
        <v>30</v>
      </c>
      <c r="K379" t="s">
        <v>25</v>
      </c>
      <c r="L379">
        <v>1</v>
      </c>
      <c r="M379">
        <v>3</v>
      </c>
      <c r="N379">
        <v>5</v>
      </c>
      <c r="O379">
        <v>1</v>
      </c>
      <c r="P379">
        <v>355.75</v>
      </c>
      <c r="Q379">
        <v>67</v>
      </c>
      <c r="S379">
        <f t="shared" si="20"/>
        <v>557.6865165165168</v>
      </c>
      <c r="T379">
        <f t="shared" si="21"/>
        <v>153</v>
      </c>
      <c r="U379">
        <f t="shared" si="22"/>
        <v>1.9139139139139139</v>
      </c>
      <c r="V379">
        <f t="shared" si="23"/>
        <v>557.6865165165168</v>
      </c>
    </row>
    <row r="380" spans="1:22" x14ac:dyDescent="0.25">
      <c r="A380">
        <v>3854</v>
      </c>
      <c r="B380" s="1">
        <v>43622</v>
      </c>
      <c r="C380" t="s">
        <v>43</v>
      </c>
      <c r="D380" t="s">
        <v>18</v>
      </c>
      <c r="E380" t="s">
        <v>28</v>
      </c>
      <c r="F380" t="s">
        <v>33</v>
      </c>
      <c r="G380" t="s">
        <v>76</v>
      </c>
      <c r="H380" t="s">
        <v>74</v>
      </c>
      <c r="I380" t="s">
        <v>23</v>
      </c>
      <c r="J380" t="s">
        <v>30</v>
      </c>
      <c r="K380" t="s">
        <v>25</v>
      </c>
      <c r="L380">
        <v>5</v>
      </c>
      <c r="M380">
        <v>2</v>
      </c>
      <c r="N380">
        <v>5</v>
      </c>
      <c r="O380">
        <v>5</v>
      </c>
      <c r="P380">
        <v>913.62</v>
      </c>
      <c r="Q380">
        <v>77</v>
      </c>
      <c r="S380">
        <f t="shared" si="20"/>
        <v>557.6865165165168</v>
      </c>
      <c r="T380">
        <f t="shared" si="21"/>
        <v>153</v>
      </c>
      <c r="U380">
        <f t="shared" si="22"/>
        <v>1.9139139139139139</v>
      </c>
      <c r="V380">
        <f t="shared" si="23"/>
        <v>557.6865165165168</v>
      </c>
    </row>
    <row r="381" spans="1:22" x14ac:dyDescent="0.25">
      <c r="A381">
        <v>3855</v>
      </c>
      <c r="B381" s="1">
        <v>44341</v>
      </c>
      <c r="C381" t="s">
        <v>43</v>
      </c>
      <c r="D381" t="s">
        <v>18</v>
      </c>
      <c r="E381" t="s">
        <v>28</v>
      </c>
      <c r="F381" t="s">
        <v>33</v>
      </c>
      <c r="G381" t="s">
        <v>76</v>
      </c>
      <c r="H381" t="s">
        <v>70</v>
      </c>
      <c r="I381" t="s">
        <v>23</v>
      </c>
      <c r="J381" t="s">
        <v>30</v>
      </c>
      <c r="K381" t="s">
        <v>25</v>
      </c>
      <c r="L381">
        <v>5</v>
      </c>
      <c r="M381">
        <v>3</v>
      </c>
      <c r="N381">
        <v>4</v>
      </c>
      <c r="O381">
        <v>1</v>
      </c>
      <c r="P381">
        <v>157.94</v>
      </c>
      <c r="Q381">
        <v>22</v>
      </c>
      <c r="S381">
        <f t="shared" si="20"/>
        <v>557.6865165165168</v>
      </c>
      <c r="T381">
        <f t="shared" si="21"/>
        <v>153</v>
      </c>
      <c r="U381">
        <f t="shared" si="22"/>
        <v>1.9139139139139139</v>
      </c>
      <c r="V381">
        <f t="shared" si="23"/>
        <v>557.6865165165168</v>
      </c>
    </row>
    <row r="382" spans="1:22" x14ac:dyDescent="0.25">
      <c r="A382">
        <v>3856</v>
      </c>
      <c r="B382" s="1">
        <v>45002</v>
      </c>
      <c r="C382" t="s">
        <v>37</v>
      </c>
      <c r="D382" t="s">
        <v>18</v>
      </c>
      <c r="E382" t="s">
        <v>28</v>
      </c>
      <c r="F382" t="s">
        <v>20</v>
      </c>
      <c r="G382" t="s">
        <v>76</v>
      </c>
      <c r="H382" t="s">
        <v>67</v>
      </c>
      <c r="I382" t="s">
        <v>23</v>
      </c>
      <c r="J382" t="s">
        <v>30</v>
      </c>
      <c r="K382" t="s">
        <v>72</v>
      </c>
      <c r="L382">
        <v>5</v>
      </c>
      <c r="M382">
        <v>1</v>
      </c>
      <c r="N382">
        <v>4</v>
      </c>
      <c r="O382">
        <v>4</v>
      </c>
      <c r="P382">
        <v>527.6</v>
      </c>
      <c r="Q382">
        <v>29</v>
      </c>
      <c r="S382">
        <f t="shared" si="20"/>
        <v>557.6865165165168</v>
      </c>
      <c r="T382">
        <f t="shared" si="21"/>
        <v>153</v>
      </c>
      <c r="U382">
        <f t="shared" si="22"/>
        <v>1.9139139139139139</v>
      </c>
      <c r="V382">
        <f t="shared" si="23"/>
        <v>557.6865165165168</v>
      </c>
    </row>
    <row r="383" spans="1:22" x14ac:dyDescent="0.25">
      <c r="A383">
        <v>3857</v>
      </c>
      <c r="B383" s="1">
        <v>44836</v>
      </c>
      <c r="C383" t="s">
        <v>52</v>
      </c>
      <c r="D383" t="s">
        <v>18</v>
      </c>
      <c r="E383" t="s">
        <v>19</v>
      </c>
      <c r="F383" t="s">
        <v>33</v>
      </c>
      <c r="G383" t="s">
        <v>61</v>
      </c>
      <c r="H383" t="s">
        <v>63</v>
      </c>
      <c r="I383" t="s">
        <v>23</v>
      </c>
      <c r="J383" t="s">
        <v>30</v>
      </c>
      <c r="K383" t="s">
        <v>72</v>
      </c>
      <c r="L383">
        <v>1</v>
      </c>
      <c r="M383">
        <v>1</v>
      </c>
      <c r="N383">
        <v>2</v>
      </c>
      <c r="O383">
        <v>1</v>
      </c>
      <c r="P383">
        <v>601.20000000000005</v>
      </c>
      <c r="Q383">
        <v>59</v>
      </c>
      <c r="S383">
        <f t="shared" si="20"/>
        <v>557.6865165165168</v>
      </c>
      <c r="T383">
        <f t="shared" si="21"/>
        <v>153</v>
      </c>
      <c r="U383">
        <f t="shared" si="22"/>
        <v>1.9139139139139139</v>
      </c>
      <c r="V383">
        <f t="shared" si="23"/>
        <v>557.6865165165168</v>
      </c>
    </row>
    <row r="384" spans="1:22" x14ac:dyDescent="0.25">
      <c r="A384">
        <v>3858</v>
      </c>
      <c r="B384" s="1">
        <v>44583</v>
      </c>
      <c r="C384" t="s">
        <v>60</v>
      </c>
      <c r="D384" t="s">
        <v>18</v>
      </c>
      <c r="E384" t="s">
        <v>32</v>
      </c>
      <c r="F384" t="s">
        <v>33</v>
      </c>
      <c r="G384" t="s">
        <v>61</v>
      </c>
      <c r="H384" t="s">
        <v>47</v>
      </c>
      <c r="I384" t="s">
        <v>23</v>
      </c>
      <c r="J384" t="s">
        <v>30</v>
      </c>
      <c r="K384" t="s">
        <v>25</v>
      </c>
      <c r="L384">
        <v>3</v>
      </c>
      <c r="M384">
        <v>3</v>
      </c>
      <c r="N384">
        <v>1</v>
      </c>
      <c r="O384">
        <v>4</v>
      </c>
      <c r="P384">
        <v>478.88</v>
      </c>
      <c r="Q384">
        <v>71</v>
      </c>
      <c r="S384">
        <f t="shared" si="20"/>
        <v>557.6865165165168</v>
      </c>
      <c r="T384">
        <f t="shared" si="21"/>
        <v>153</v>
      </c>
      <c r="U384">
        <f t="shared" si="22"/>
        <v>1.9139139139139139</v>
      </c>
      <c r="V384">
        <f t="shared" si="23"/>
        <v>557.6865165165168</v>
      </c>
    </row>
    <row r="385" spans="1:22" x14ac:dyDescent="0.25">
      <c r="A385">
        <v>3859</v>
      </c>
      <c r="B385" s="1">
        <v>43798</v>
      </c>
      <c r="C385" t="s">
        <v>31</v>
      </c>
      <c r="D385" t="s">
        <v>18</v>
      </c>
      <c r="E385" t="s">
        <v>32</v>
      </c>
      <c r="F385" t="s">
        <v>33</v>
      </c>
      <c r="G385" t="s">
        <v>61</v>
      </c>
      <c r="H385" t="s">
        <v>63</v>
      </c>
      <c r="I385" t="s">
        <v>23</v>
      </c>
      <c r="J385" t="s">
        <v>24</v>
      </c>
      <c r="K385" t="s">
        <v>72</v>
      </c>
      <c r="L385">
        <v>1</v>
      </c>
      <c r="M385">
        <v>2</v>
      </c>
      <c r="N385">
        <v>5</v>
      </c>
      <c r="O385">
        <v>1</v>
      </c>
      <c r="P385">
        <v>838.69</v>
      </c>
      <c r="Q385">
        <v>27</v>
      </c>
      <c r="S385">
        <f t="shared" si="20"/>
        <v>557.6865165165168</v>
      </c>
      <c r="T385">
        <f t="shared" si="21"/>
        <v>153</v>
      </c>
      <c r="U385">
        <f t="shared" si="22"/>
        <v>1.9139139139139139</v>
      </c>
      <c r="V385">
        <f t="shared" si="23"/>
        <v>557.6865165165168</v>
      </c>
    </row>
    <row r="386" spans="1:22" x14ac:dyDescent="0.25">
      <c r="A386">
        <v>3860</v>
      </c>
      <c r="B386" s="1">
        <v>44013</v>
      </c>
      <c r="C386" t="s">
        <v>49</v>
      </c>
      <c r="D386" t="s">
        <v>18</v>
      </c>
      <c r="E386" t="s">
        <v>19</v>
      </c>
      <c r="F386" t="s">
        <v>33</v>
      </c>
      <c r="G386" t="s">
        <v>61</v>
      </c>
      <c r="H386" t="s">
        <v>68</v>
      </c>
      <c r="I386" t="s">
        <v>23</v>
      </c>
      <c r="J386" t="s">
        <v>24</v>
      </c>
      <c r="K386" t="s">
        <v>25</v>
      </c>
      <c r="L386">
        <v>2</v>
      </c>
      <c r="M386">
        <v>4</v>
      </c>
      <c r="N386">
        <v>3</v>
      </c>
      <c r="O386">
        <v>4</v>
      </c>
      <c r="P386">
        <v>389.63</v>
      </c>
      <c r="Q386">
        <v>24</v>
      </c>
      <c r="S386">
        <f t="shared" ref="S386:S449" si="24">AVERAGE(P:P)-1</f>
        <v>557.6865165165168</v>
      </c>
      <c r="T386">
        <f t="shared" ref="T386:T449" si="25">COUNTIF(D:D,"Inactive")</f>
        <v>153</v>
      </c>
      <c r="U386">
        <f t="shared" ref="U386:U449" si="26">AVERAGE(L:L)-1</f>
        <v>1.9139139139139139</v>
      </c>
      <c r="V386">
        <f t="shared" ref="V386:V449" si="27">AVERAGE(P:P)-1</f>
        <v>557.6865165165168</v>
      </c>
    </row>
    <row r="387" spans="1:22" x14ac:dyDescent="0.25">
      <c r="A387">
        <v>3861</v>
      </c>
      <c r="B387" s="1">
        <v>44644</v>
      </c>
      <c r="C387" t="s">
        <v>31</v>
      </c>
      <c r="D387" t="s">
        <v>18</v>
      </c>
      <c r="E387" t="s">
        <v>32</v>
      </c>
      <c r="F387" t="s">
        <v>20</v>
      </c>
      <c r="G387" t="s">
        <v>61</v>
      </c>
      <c r="H387" t="s">
        <v>38</v>
      </c>
      <c r="I387" t="s">
        <v>23</v>
      </c>
      <c r="J387" t="s">
        <v>30</v>
      </c>
      <c r="K387" t="s">
        <v>72</v>
      </c>
      <c r="L387">
        <v>3</v>
      </c>
      <c r="M387">
        <v>1</v>
      </c>
      <c r="N387">
        <v>5</v>
      </c>
      <c r="O387">
        <v>1</v>
      </c>
      <c r="P387">
        <v>911.36</v>
      </c>
      <c r="Q387">
        <v>57</v>
      </c>
      <c r="S387">
        <f t="shared" si="24"/>
        <v>557.6865165165168</v>
      </c>
      <c r="T387">
        <f t="shared" si="25"/>
        <v>153</v>
      </c>
      <c r="U387">
        <f t="shared" si="26"/>
        <v>1.9139139139139139</v>
      </c>
      <c r="V387">
        <f t="shared" si="27"/>
        <v>557.6865165165168</v>
      </c>
    </row>
    <row r="388" spans="1:22" x14ac:dyDescent="0.25">
      <c r="A388">
        <v>3863</v>
      </c>
      <c r="B388" s="1">
        <v>43623</v>
      </c>
      <c r="C388" t="s">
        <v>17</v>
      </c>
      <c r="D388" t="s">
        <v>18</v>
      </c>
      <c r="E388" t="s">
        <v>19</v>
      </c>
      <c r="F388" t="s">
        <v>27</v>
      </c>
      <c r="G388" t="s">
        <v>61</v>
      </c>
      <c r="H388" t="s">
        <v>29</v>
      </c>
      <c r="I388" t="s">
        <v>23</v>
      </c>
      <c r="J388" t="s">
        <v>24</v>
      </c>
      <c r="K388" t="s">
        <v>72</v>
      </c>
      <c r="L388">
        <v>4</v>
      </c>
      <c r="M388">
        <v>2</v>
      </c>
      <c r="N388">
        <v>1</v>
      </c>
      <c r="O388">
        <v>5</v>
      </c>
      <c r="P388">
        <v>274.98</v>
      </c>
      <c r="Q388">
        <v>47</v>
      </c>
      <c r="S388">
        <f t="shared" si="24"/>
        <v>557.6865165165168</v>
      </c>
      <c r="T388">
        <f t="shared" si="25"/>
        <v>153</v>
      </c>
      <c r="U388">
        <f t="shared" si="26"/>
        <v>1.9139139139139139</v>
      </c>
      <c r="V388">
        <f t="shared" si="27"/>
        <v>557.6865165165168</v>
      </c>
    </row>
    <row r="389" spans="1:22" x14ac:dyDescent="0.25">
      <c r="A389">
        <v>3865</v>
      </c>
      <c r="B389" s="1">
        <v>44103</v>
      </c>
      <c r="C389" t="s">
        <v>54</v>
      </c>
      <c r="D389" t="s">
        <v>18</v>
      </c>
      <c r="E389" t="s">
        <v>28</v>
      </c>
      <c r="F389" t="s">
        <v>20</v>
      </c>
      <c r="G389" t="s">
        <v>21</v>
      </c>
      <c r="H389" t="s">
        <v>77</v>
      </c>
      <c r="I389" t="s">
        <v>23</v>
      </c>
      <c r="J389" t="s">
        <v>30</v>
      </c>
      <c r="K389" t="s">
        <v>64</v>
      </c>
      <c r="L389">
        <v>1</v>
      </c>
      <c r="M389">
        <v>4</v>
      </c>
      <c r="N389">
        <v>3</v>
      </c>
      <c r="O389">
        <v>2</v>
      </c>
      <c r="P389">
        <v>399.26</v>
      </c>
      <c r="Q389">
        <v>57</v>
      </c>
      <c r="S389">
        <f t="shared" si="24"/>
        <v>557.6865165165168</v>
      </c>
      <c r="T389">
        <f t="shared" si="25"/>
        <v>153</v>
      </c>
      <c r="U389">
        <f t="shared" si="26"/>
        <v>1.9139139139139139</v>
      </c>
      <c r="V389">
        <f t="shared" si="27"/>
        <v>557.6865165165168</v>
      </c>
    </row>
    <row r="390" spans="1:22" x14ac:dyDescent="0.25">
      <c r="A390">
        <v>3866</v>
      </c>
      <c r="B390" s="1">
        <v>44078</v>
      </c>
      <c r="C390" t="s">
        <v>37</v>
      </c>
      <c r="D390" t="s">
        <v>18</v>
      </c>
      <c r="E390" t="s">
        <v>19</v>
      </c>
      <c r="F390" t="s">
        <v>27</v>
      </c>
      <c r="G390" t="s">
        <v>76</v>
      </c>
      <c r="H390" t="s">
        <v>41</v>
      </c>
      <c r="I390" t="s">
        <v>23</v>
      </c>
      <c r="J390" t="s">
        <v>30</v>
      </c>
      <c r="K390" t="s">
        <v>25</v>
      </c>
      <c r="L390">
        <v>2</v>
      </c>
      <c r="M390">
        <v>1</v>
      </c>
      <c r="N390">
        <v>5</v>
      </c>
      <c r="O390">
        <v>4</v>
      </c>
      <c r="P390">
        <v>993.08</v>
      </c>
      <c r="Q390">
        <v>61</v>
      </c>
      <c r="S390">
        <f t="shared" si="24"/>
        <v>557.6865165165168</v>
      </c>
      <c r="T390">
        <f t="shared" si="25"/>
        <v>153</v>
      </c>
      <c r="U390">
        <f t="shared" si="26"/>
        <v>1.9139139139139139</v>
      </c>
      <c r="V390">
        <f t="shared" si="27"/>
        <v>557.6865165165168</v>
      </c>
    </row>
    <row r="391" spans="1:22" x14ac:dyDescent="0.25">
      <c r="A391">
        <v>3867</v>
      </c>
      <c r="B391" s="1">
        <v>43338</v>
      </c>
      <c r="C391" t="s">
        <v>60</v>
      </c>
      <c r="D391" t="s">
        <v>18</v>
      </c>
      <c r="E391" t="s">
        <v>28</v>
      </c>
      <c r="F391" t="s">
        <v>33</v>
      </c>
      <c r="G391" t="s">
        <v>76</v>
      </c>
      <c r="H391" t="s">
        <v>68</v>
      </c>
      <c r="I391" t="s">
        <v>23</v>
      </c>
      <c r="J391" t="s">
        <v>30</v>
      </c>
      <c r="K391" t="s">
        <v>25</v>
      </c>
      <c r="L391">
        <v>5</v>
      </c>
      <c r="M391">
        <v>3</v>
      </c>
      <c r="N391">
        <v>3</v>
      </c>
      <c r="O391">
        <v>4</v>
      </c>
      <c r="P391">
        <v>540.57000000000005</v>
      </c>
      <c r="Q391">
        <v>32</v>
      </c>
      <c r="S391">
        <f t="shared" si="24"/>
        <v>557.6865165165168</v>
      </c>
      <c r="T391">
        <f t="shared" si="25"/>
        <v>153</v>
      </c>
      <c r="U391">
        <f t="shared" si="26"/>
        <v>1.9139139139139139</v>
      </c>
      <c r="V391">
        <f t="shared" si="27"/>
        <v>557.6865165165168</v>
      </c>
    </row>
    <row r="392" spans="1:22" x14ac:dyDescent="0.25">
      <c r="A392">
        <v>3868</v>
      </c>
      <c r="B392" s="1">
        <v>43694</v>
      </c>
      <c r="C392" t="s">
        <v>43</v>
      </c>
      <c r="D392" t="s">
        <v>18</v>
      </c>
      <c r="E392" t="s">
        <v>19</v>
      </c>
      <c r="F392" t="s">
        <v>27</v>
      </c>
      <c r="G392" t="s">
        <v>61</v>
      </c>
      <c r="H392" t="s">
        <v>22</v>
      </c>
      <c r="I392" t="s">
        <v>23</v>
      </c>
      <c r="J392" t="s">
        <v>30</v>
      </c>
      <c r="K392" t="s">
        <v>25</v>
      </c>
      <c r="L392">
        <v>3</v>
      </c>
      <c r="M392">
        <v>1</v>
      </c>
      <c r="N392">
        <v>2</v>
      </c>
      <c r="O392">
        <v>3</v>
      </c>
      <c r="P392">
        <v>272.58</v>
      </c>
      <c r="Q392">
        <v>19</v>
      </c>
      <c r="S392">
        <f t="shared" si="24"/>
        <v>557.6865165165168</v>
      </c>
      <c r="T392">
        <f t="shared" si="25"/>
        <v>153</v>
      </c>
      <c r="U392">
        <f t="shared" si="26"/>
        <v>1.9139139139139139</v>
      </c>
      <c r="V392">
        <f t="shared" si="27"/>
        <v>557.6865165165168</v>
      </c>
    </row>
    <row r="393" spans="1:22" x14ac:dyDescent="0.25">
      <c r="A393">
        <v>3869</v>
      </c>
      <c r="B393" s="1">
        <v>43733</v>
      </c>
      <c r="C393" t="s">
        <v>49</v>
      </c>
      <c r="D393" t="s">
        <v>18</v>
      </c>
      <c r="E393" t="s">
        <v>32</v>
      </c>
      <c r="F393" t="s">
        <v>27</v>
      </c>
      <c r="G393" t="s">
        <v>61</v>
      </c>
      <c r="H393" t="s">
        <v>41</v>
      </c>
      <c r="I393" t="s">
        <v>23</v>
      </c>
      <c r="J393" t="s">
        <v>30</v>
      </c>
      <c r="K393" t="s">
        <v>25</v>
      </c>
      <c r="L393">
        <v>1</v>
      </c>
      <c r="M393">
        <v>4</v>
      </c>
      <c r="N393">
        <v>2</v>
      </c>
      <c r="O393">
        <v>2</v>
      </c>
      <c r="P393">
        <v>905.51</v>
      </c>
      <c r="Q393">
        <v>42</v>
      </c>
      <c r="S393">
        <f t="shared" si="24"/>
        <v>557.6865165165168</v>
      </c>
      <c r="T393">
        <f t="shared" si="25"/>
        <v>153</v>
      </c>
      <c r="U393">
        <f t="shared" si="26"/>
        <v>1.9139139139139139</v>
      </c>
      <c r="V393">
        <f t="shared" si="27"/>
        <v>557.6865165165168</v>
      </c>
    </row>
    <row r="394" spans="1:22" x14ac:dyDescent="0.25">
      <c r="A394">
        <v>3870</v>
      </c>
      <c r="B394" s="1">
        <v>44996</v>
      </c>
      <c r="C394" t="s">
        <v>31</v>
      </c>
      <c r="D394" t="s">
        <v>18</v>
      </c>
      <c r="E394" t="s">
        <v>19</v>
      </c>
      <c r="F394" t="s">
        <v>33</v>
      </c>
      <c r="G394" t="s">
        <v>61</v>
      </c>
      <c r="H394" t="s">
        <v>62</v>
      </c>
      <c r="I394" t="s">
        <v>23</v>
      </c>
      <c r="J394" t="s">
        <v>30</v>
      </c>
      <c r="K394" t="s">
        <v>25</v>
      </c>
      <c r="L394">
        <v>1</v>
      </c>
      <c r="M394">
        <v>5</v>
      </c>
      <c r="N394">
        <v>1</v>
      </c>
      <c r="O394">
        <v>1</v>
      </c>
      <c r="P394">
        <v>919.25</v>
      </c>
      <c r="Q394">
        <v>57</v>
      </c>
      <c r="S394">
        <f t="shared" si="24"/>
        <v>557.6865165165168</v>
      </c>
      <c r="T394">
        <f t="shared" si="25"/>
        <v>153</v>
      </c>
      <c r="U394">
        <f t="shared" si="26"/>
        <v>1.9139139139139139</v>
      </c>
      <c r="V394">
        <f t="shared" si="27"/>
        <v>557.6865165165168</v>
      </c>
    </row>
    <row r="395" spans="1:22" x14ac:dyDescent="0.25">
      <c r="A395">
        <v>3871</v>
      </c>
      <c r="B395" s="1">
        <v>44910</v>
      </c>
      <c r="C395" t="s">
        <v>40</v>
      </c>
      <c r="D395" t="s">
        <v>18</v>
      </c>
      <c r="E395" t="s">
        <v>32</v>
      </c>
      <c r="F395" t="s">
        <v>33</v>
      </c>
      <c r="G395" t="s">
        <v>61</v>
      </c>
      <c r="H395" t="s">
        <v>38</v>
      </c>
      <c r="I395" t="s">
        <v>23</v>
      </c>
      <c r="J395" t="s">
        <v>24</v>
      </c>
      <c r="K395" t="s">
        <v>25</v>
      </c>
      <c r="L395">
        <v>4</v>
      </c>
      <c r="M395">
        <v>5</v>
      </c>
      <c r="N395">
        <v>2</v>
      </c>
      <c r="O395">
        <v>5</v>
      </c>
      <c r="P395">
        <v>979.98</v>
      </c>
      <c r="Q395">
        <v>51</v>
      </c>
      <c r="S395">
        <f t="shared" si="24"/>
        <v>557.6865165165168</v>
      </c>
      <c r="T395">
        <f t="shared" si="25"/>
        <v>153</v>
      </c>
      <c r="U395">
        <f t="shared" si="26"/>
        <v>1.9139139139139139</v>
      </c>
      <c r="V395">
        <f t="shared" si="27"/>
        <v>557.6865165165168</v>
      </c>
    </row>
    <row r="396" spans="1:22" x14ac:dyDescent="0.25">
      <c r="A396">
        <v>3872</v>
      </c>
      <c r="B396" s="1">
        <v>43322</v>
      </c>
      <c r="C396" t="s">
        <v>17</v>
      </c>
      <c r="D396" t="s">
        <v>18</v>
      </c>
      <c r="E396" t="s">
        <v>19</v>
      </c>
      <c r="F396" t="s">
        <v>33</v>
      </c>
      <c r="G396" t="s">
        <v>61</v>
      </c>
      <c r="H396" t="s">
        <v>47</v>
      </c>
      <c r="I396" t="s">
        <v>23</v>
      </c>
      <c r="J396" t="s">
        <v>24</v>
      </c>
      <c r="K396" t="s">
        <v>25</v>
      </c>
      <c r="L396">
        <v>5</v>
      </c>
      <c r="M396">
        <v>5</v>
      </c>
      <c r="N396">
        <v>3</v>
      </c>
      <c r="O396">
        <v>3</v>
      </c>
      <c r="P396">
        <v>499.86</v>
      </c>
      <c r="Q396">
        <v>52</v>
      </c>
      <c r="S396">
        <f t="shared" si="24"/>
        <v>557.6865165165168</v>
      </c>
      <c r="T396">
        <f t="shared" si="25"/>
        <v>153</v>
      </c>
      <c r="U396">
        <f t="shared" si="26"/>
        <v>1.9139139139139139</v>
      </c>
      <c r="V396">
        <f t="shared" si="27"/>
        <v>557.6865165165168</v>
      </c>
    </row>
    <row r="397" spans="1:22" x14ac:dyDescent="0.25">
      <c r="A397">
        <v>3873</v>
      </c>
      <c r="B397" s="1">
        <v>44624</v>
      </c>
      <c r="C397" t="s">
        <v>49</v>
      </c>
      <c r="D397" t="s">
        <v>18</v>
      </c>
      <c r="E397" t="s">
        <v>32</v>
      </c>
      <c r="F397" t="s">
        <v>33</v>
      </c>
      <c r="G397" t="s">
        <v>61</v>
      </c>
      <c r="H397" t="s">
        <v>50</v>
      </c>
      <c r="I397" t="s">
        <v>23</v>
      </c>
      <c r="J397" t="s">
        <v>30</v>
      </c>
      <c r="K397" t="s">
        <v>25</v>
      </c>
      <c r="L397">
        <v>3</v>
      </c>
      <c r="M397">
        <v>4</v>
      </c>
      <c r="N397">
        <v>5</v>
      </c>
      <c r="O397">
        <v>3</v>
      </c>
      <c r="P397">
        <v>598.22</v>
      </c>
      <c r="Q397">
        <v>50</v>
      </c>
      <c r="S397">
        <f t="shared" si="24"/>
        <v>557.6865165165168</v>
      </c>
      <c r="T397">
        <f t="shared" si="25"/>
        <v>153</v>
      </c>
      <c r="U397">
        <f t="shared" si="26"/>
        <v>1.9139139139139139</v>
      </c>
      <c r="V397">
        <f t="shared" si="27"/>
        <v>557.6865165165168</v>
      </c>
    </row>
    <row r="398" spans="1:22" x14ac:dyDescent="0.25">
      <c r="A398">
        <v>3874</v>
      </c>
      <c r="B398" s="1">
        <v>43984</v>
      </c>
      <c r="C398" t="s">
        <v>31</v>
      </c>
      <c r="D398" t="s">
        <v>18</v>
      </c>
      <c r="E398" t="s">
        <v>28</v>
      </c>
      <c r="F398" t="s">
        <v>20</v>
      </c>
      <c r="G398" t="s">
        <v>61</v>
      </c>
      <c r="H398" t="s">
        <v>38</v>
      </c>
      <c r="I398" t="s">
        <v>42</v>
      </c>
      <c r="J398" t="s">
        <v>30</v>
      </c>
      <c r="K398" t="s">
        <v>25</v>
      </c>
      <c r="L398">
        <v>4</v>
      </c>
      <c r="M398">
        <v>4</v>
      </c>
      <c r="N398">
        <v>5</v>
      </c>
      <c r="O398">
        <v>2</v>
      </c>
      <c r="P398">
        <v>421.93</v>
      </c>
      <c r="Q398">
        <v>23</v>
      </c>
      <c r="S398">
        <f t="shared" si="24"/>
        <v>557.6865165165168</v>
      </c>
      <c r="T398">
        <f t="shared" si="25"/>
        <v>153</v>
      </c>
      <c r="U398">
        <f t="shared" si="26"/>
        <v>1.9139139139139139</v>
      </c>
      <c r="V398">
        <f t="shared" si="27"/>
        <v>557.6865165165168</v>
      </c>
    </row>
    <row r="399" spans="1:22" x14ac:dyDescent="0.25">
      <c r="A399">
        <v>3875</v>
      </c>
      <c r="B399" s="1">
        <v>44376</v>
      </c>
      <c r="C399" t="s">
        <v>40</v>
      </c>
      <c r="D399" t="s">
        <v>18</v>
      </c>
      <c r="E399" t="s">
        <v>19</v>
      </c>
      <c r="F399" t="s">
        <v>27</v>
      </c>
      <c r="G399" t="s">
        <v>61</v>
      </c>
      <c r="H399" t="s">
        <v>75</v>
      </c>
      <c r="I399" t="s">
        <v>42</v>
      </c>
      <c r="J399" t="s">
        <v>30</v>
      </c>
      <c r="K399" t="s">
        <v>25</v>
      </c>
      <c r="L399">
        <v>5</v>
      </c>
      <c r="M399">
        <v>5</v>
      </c>
      <c r="N399">
        <v>1</v>
      </c>
      <c r="O399">
        <v>2</v>
      </c>
      <c r="P399">
        <v>860.22</v>
      </c>
      <c r="Q399">
        <v>52</v>
      </c>
      <c r="S399">
        <f t="shared" si="24"/>
        <v>557.6865165165168</v>
      </c>
      <c r="T399">
        <f t="shared" si="25"/>
        <v>153</v>
      </c>
      <c r="U399">
        <f t="shared" si="26"/>
        <v>1.9139139139139139</v>
      </c>
      <c r="V399">
        <f t="shared" si="27"/>
        <v>557.6865165165168</v>
      </c>
    </row>
    <row r="400" spans="1:22" x14ac:dyDescent="0.25">
      <c r="A400">
        <v>3876</v>
      </c>
      <c r="B400" s="1">
        <v>44493</v>
      </c>
      <c r="C400" t="s">
        <v>17</v>
      </c>
      <c r="D400" t="s">
        <v>18</v>
      </c>
      <c r="E400" t="s">
        <v>19</v>
      </c>
      <c r="F400" t="s">
        <v>20</v>
      </c>
      <c r="G400" t="s">
        <v>61</v>
      </c>
      <c r="H400" t="s">
        <v>38</v>
      </c>
      <c r="I400" t="s">
        <v>23</v>
      </c>
      <c r="J400" t="s">
        <v>24</v>
      </c>
      <c r="K400" t="s">
        <v>72</v>
      </c>
      <c r="L400">
        <v>3</v>
      </c>
      <c r="M400">
        <v>2</v>
      </c>
      <c r="N400">
        <v>5</v>
      </c>
      <c r="O400">
        <v>1</v>
      </c>
      <c r="P400">
        <v>946.23</v>
      </c>
      <c r="Q400">
        <v>67</v>
      </c>
      <c r="S400">
        <f t="shared" si="24"/>
        <v>557.6865165165168</v>
      </c>
      <c r="T400">
        <f t="shared" si="25"/>
        <v>153</v>
      </c>
      <c r="U400">
        <f t="shared" si="26"/>
        <v>1.9139139139139139</v>
      </c>
      <c r="V400">
        <f t="shared" si="27"/>
        <v>557.6865165165168</v>
      </c>
    </row>
    <row r="401" spans="1:22" x14ac:dyDescent="0.25">
      <c r="A401">
        <v>3877</v>
      </c>
      <c r="B401" s="1">
        <v>43395</v>
      </c>
      <c r="C401" t="s">
        <v>54</v>
      </c>
      <c r="D401" t="s">
        <v>18</v>
      </c>
      <c r="E401" t="s">
        <v>28</v>
      </c>
      <c r="F401" t="s">
        <v>27</v>
      </c>
      <c r="G401" t="s">
        <v>76</v>
      </c>
      <c r="H401" t="s">
        <v>38</v>
      </c>
      <c r="I401" t="s">
        <v>23</v>
      </c>
      <c r="J401" t="s">
        <v>30</v>
      </c>
      <c r="K401" t="s">
        <v>72</v>
      </c>
      <c r="L401">
        <v>3</v>
      </c>
      <c r="M401">
        <v>3</v>
      </c>
      <c r="N401">
        <v>4</v>
      </c>
      <c r="O401">
        <v>1</v>
      </c>
      <c r="P401">
        <v>888.55</v>
      </c>
      <c r="Q401">
        <v>42</v>
      </c>
      <c r="S401">
        <f t="shared" si="24"/>
        <v>557.6865165165168</v>
      </c>
      <c r="T401">
        <f t="shared" si="25"/>
        <v>153</v>
      </c>
      <c r="U401">
        <f t="shared" si="26"/>
        <v>1.9139139139139139</v>
      </c>
      <c r="V401">
        <f t="shared" si="27"/>
        <v>557.6865165165168</v>
      </c>
    </row>
    <row r="402" spans="1:22" x14ac:dyDescent="0.25">
      <c r="A402">
        <v>3878</v>
      </c>
      <c r="B402" s="1">
        <v>43351</v>
      </c>
      <c r="C402" t="s">
        <v>37</v>
      </c>
      <c r="D402" t="s">
        <v>18</v>
      </c>
      <c r="E402" t="s">
        <v>19</v>
      </c>
      <c r="F402" t="s">
        <v>33</v>
      </c>
      <c r="G402" t="s">
        <v>76</v>
      </c>
      <c r="H402" t="s">
        <v>47</v>
      </c>
      <c r="I402" t="s">
        <v>23</v>
      </c>
      <c r="J402" t="s">
        <v>30</v>
      </c>
      <c r="K402" t="s">
        <v>25</v>
      </c>
      <c r="L402">
        <v>4</v>
      </c>
      <c r="M402">
        <v>4</v>
      </c>
      <c r="N402">
        <v>1</v>
      </c>
      <c r="O402">
        <v>5</v>
      </c>
      <c r="P402">
        <v>749.69</v>
      </c>
      <c r="Q402">
        <v>51</v>
      </c>
      <c r="S402">
        <f t="shared" si="24"/>
        <v>557.6865165165168</v>
      </c>
      <c r="T402">
        <f t="shared" si="25"/>
        <v>153</v>
      </c>
      <c r="U402">
        <f t="shared" si="26"/>
        <v>1.9139139139139139</v>
      </c>
      <c r="V402">
        <f t="shared" si="27"/>
        <v>557.6865165165168</v>
      </c>
    </row>
    <row r="403" spans="1:22" x14ac:dyDescent="0.25">
      <c r="A403">
        <v>3879</v>
      </c>
      <c r="B403" s="1">
        <v>43504</v>
      </c>
      <c r="C403" t="s">
        <v>60</v>
      </c>
      <c r="D403" t="s">
        <v>18</v>
      </c>
      <c r="E403" t="s">
        <v>32</v>
      </c>
      <c r="F403" t="s">
        <v>20</v>
      </c>
      <c r="G403" t="s">
        <v>61</v>
      </c>
      <c r="H403" t="s">
        <v>41</v>
      </c>
      <c r="I403" t="s">
        <v>23</v>
      </c>
      <c r="J403" t="s">
        <v>30</v>
      </c>
      <c r="K403" t="s">
        <v>25</v>
      </c>
      <c r="L403">
        <v>1</v>
      </c>
      <c r="M403">
        <v>5</v>
      </c>
      <c r="N403">
        <v>2</v>
      </c>
      <c r="O403">
        <v>2</v>
      </c>
      <c r="P403">
        <v>613.95000000000005</v>
      </c>
      <c r="Q403">
        <v>23</v>
      </c>
      <c r="S403">
        <f t="shared" si="24"/>
        <v>557.6865165165168</v>
      </c>
      <c r="T403">
        <f t="shared" si="25"/>
        <v>153</v>
      </c>
      <c r="U403">
        <f t="shared" si="26"/>
        <v>1.9139139139139139</v>
      </c>
      <c r="V403">
        <f t="shared" si="27"/>
        <v>557.6865165165168</v>
      </c>
    </row>
    <row r="404" spans="1:22" x14ac:dyDescent="0.25">
      <c r="A404">
        <v>3880</v>
      </c>
      <c r="B404" s="1">
        <v>44284</v>
      </c>
      <c r="C404" t="s">
        <v>43</v>
      </c>
      <c r="D404" t="s">
        <v>18</v>
      </c>
      <c r="E404" t="s">
        <v>28</v>
      </c>
      <c r="F404" t="s">
        <v>33</v>
      </c>
      <c r="G404" t="s">
        <v>61</v>
      </c>
      <c r="H404" t="s">
        <v>38</v>
      </c>
      <c r="I404" t="s">
        <v>23</v>
      </c>
      <c r="J404" t="s">
        <v>30</v>
      </c>
      <c r="K404" t="s">
        <v>25</v>
      </c>
      <c r="L404">
        <v>4</v>
      </c>
      <c r="M404">
        <v>3</v>
      </c>
      <c r="N404">
        <v>1</v>
      </c>
      <c r="O404">
        <v>3</v>
      </c>
      <c r="P404">
        <v>934.92</v>
      </c>
      <c r="Q404">
        <v>48</v>
      </c>
      <c r="S404">
        <f t="shared" si="24"/>
        <v>557.6865165165168</v>
      </c>
      <c r="T404">
        <f t="shared" si="25"/>
        <v>153</v>
      </c>
      <c r="U404">
        <f t="shared" si="26"/>
        <v>1.9139139139139139</v>
      </c>
      <c r="V404">
        <f t="shared" si="27"/>
        <v>557.6865165165168</v>
      </c>
    </row>
    <row r="405" spans="1:22" x14ac:dyDescent="0.25">
      <c r="A405">
        <v>3881</v>
      </c>
      <c r="B405" s="1">
        <v>43635</v>
      </c>
      <c r="C405" t="s">
        <v>49</v>
      </c>
      <c r="D405" t="s">
        <v>18</v>
      </c>
      <c r="E405" t="s">
        <v>28</v>
      </c>
      <c r="F405" t="s">
        <v>33</v>
      </c>
      <c r="G405" t="s">
        <v>61</v>
      </c>
      <c r="H405" t="s">
        <v>41</v>
      </c>
      <c r="I405" t="s">
        <v>23</v>
      </c>
      <c r="J405" t="s">
        <v>30</v>
      </c>
      <c r="K405" t="s">
        <v>25</v>
      </c>
      <c r="L405">
        <v>5</v>
      </c>
      <c r="M405">
        <v>3</v>
      </c>
      <c r="N405">
        <v>5</v>
      </c>
      <c r="O405">
        <v>3</v>
      </c>
      <c r="P405">
        <v>170.61</v>
      </c>
      <c r="Q405">
        <v>27</v>
      </c>
      <c r="S405">
        <f t="shared" si="24"/>
        <v>557.6865165165168</v>
      </c>
      <c r="T405">
        <f t="shared" si="25"/>
        <v>153</v>
      </c>
      <c r="U405">
        <f t="shared" si="26"/>
        <v>1.9139139139139139</v>
      </c>
      <c r="V405">
        <f t="shared" si="27"/>
        <v>557.6865165165168</v>
      </c>
    </row>
    <row r="406" spans="1:22" x14ac:dyDescent="0.25">
      <c r="A406">
        <v>3882</v>
      </c>
      <c r="B406" s="1">
        <v>43495</v>
      </c>
      <c r="C406" t="s">
        <v>31</v>
      </c>
      <c r="D406" t="s">
        <v>18</v>
      </c>
      <c r="E406" t="s">
        <v>19</v>
      </c>
      <c r="F406" t="s">
        <v>20</v>
      </c>
      <c r="G406" t="s">
        <v>61</v>
      </c>
      <c r="H406" t="s">
        <v>69</v>
      </c>
      <c r="I406" t="s">
        <v>23</v>
      </c>
      <c r="J406" t="s">
        <v>24</v>
      </c>
      <c r="K406" t="s">
        <v>25</v>
      </c>
      <c r="L406">
        <v>5</v>
      </c>
      <c r="M406">
        <v>3</v>
      </c>
      <c r="N406">
        <v>3</v>
      </c>
      <c r="O406">
        <v>2</v>
      </c>
      <c r="P406">
        <v>654.09</v>
      </c>
      <c r="Q406">
        <v>73</v>
      </c>
      <c r="S406">
        <f t="shared" si="24"/>
        <v>557.6865165165168</v>
      </c>
      <c r="T406">
        <f t="shared" si="25"/>
        <v>153</v>
      </c>
      <c r="U406">
        <f t="shared" si="26"/>
        <v>1.9139139139139139</v>
      </c>
      <c r="V406">
        <f t="shared" si="27"/>
        <v>557.6865165165168</v>
      </c>
    </row>
    <row r="407" spans="1:22" x14ac:dyDescent="0.25">
      <c r="A407">
        <v>3883</v>
      </c>
      <c r="B407" s="1">
        <v>44687</v>
      </c>
      <c r="C407" t="s">
        <v>40</v>
      </c>
      <c r="D407" t="s">
        <v>18</v>
      </c>
      <c r="E407" t="s">
        <v>19</v>
      </c>
      <c r="F407" t="s">
        <v>33</v>
      </c>
      <c r="G407" t="s">
        <v>61</v>
      </c>
      <c r="H407" t="s">
        <v>41</v>
      </c>
      <c r="I407" t="s">
        <v>23</v>
      </c>
      <c r="J407" t="s">
        <v>24</v>
      </c>
      <c r="K407" t="s">
        <v>25</v>
      </c>
      <c r="L407">
        <v>2</v>
      </c>
      <c r="M407">
        <v>2</v>
      </c>
      <c r="N407">
        <v>1</v>
      </c>
      <c r="O407">
        <v>2</v>
      </c>
      <c r="P407">
        <v>842.6</v>
      </c>
      <c r="Q407">
        <v>31</v>
      </c>
      <c r="S407">
        <f t="shared" si="24"/>
        <v>557.6865165165168</v>
      </c>
      <c r="T407">
        <f t="shared" si="25"/>
        <v>153</v>
      </c>
      <c r="U407">
        <f t="shared" si="26"/>
        <v>1.9139139139139139</v>
      </c>
      <c r="V407">
        <f t="shared" si="27"/>
        <v>557.6865165165168</v>
      </c>
    </row>
    <row r="408" spans="1:22" x14ac:dyDescent="0.25">
      <c r="A408">
        <v>3884</v>
      </c>
      <c r="B408" s="1">
        <v>43498</v>
      </c>
      <c r="C408" t="s">
        <v>17</v>
      </c>
      <c r="D408" t="s">
        <v>18</v>
      </c>
      <c r="E408" t="s">
        <v>32</v>
      </c>
      <c r="F408" t="s">
        <v>33</v>
      </c>
      <c r="G408" t="s">
        <v>61</v>
      </c>
      <c r="H408" t="s">
        <v>47</v>
      </c>
      <c r="I408" t="s">
        <v>23</v>
      </c>
      <c r="J408" t="s">
        <v>24</v>
      </c>
      <c r="K408" t="s">
        <v>25</v>
      </c>
      <c r="L408">
        <v>4</v>
      </c>
      <c r="M408">
        <v>2</v>
      </c>
      <c r="N408">
        <v>3</v>
      </c>
      <c r="O408">
        <v>1</v>
      </c>
      <c r="P408">
        <v>789.88</v>
      </c>
      <c r="Q408">
        <v>32</v>
      </c>
      <c r="S408">
        <f t="shared" si="24"/>
        <v>557.6865165165168</v>
      </c>
      <c r="T408">
        <f t="shared" si="25"/>
        <v>153</v>
      </c>
      <c r="U408">
        <f t="shared" si="26"/>
        <v>1.9139139139139139</v>
      </c>
      <c r="V408">
        <f t="shared" si="27"/>
        <v>557.6865165165168</v>
      </c>
    </row>
    <row r="409" spans="1:22" x14ac:dyDescent="0.25">
      <c r="A409">
        <v>3885</v>
      </c>
      <c r="B409" s="1">
        <v>44538</v>
      </c>
      <c r="C409" t="s">
        <v>26</v>
      </c>
      <c r="D409" t="s">
        <v>18</v>
      </c>
      <c r="E409" t="s">
        <v>32</v>
      </c>
      <c r="F409" t="s">
        <v>33</v>
      </c>
      <c r="G409" t="s">
        <v>61</v>
      </c>
      <c r="H409" t="s">
        <v>47</v>
      </c>
      <c r="I409" t="s">
        <v>42</v>
      </c>
      <c r="J409" t="s">
        <v>24</v>
      </c>
      <c r="K409" t="s">
        <v>25</v>
      </c>
      <c r="L409">
        <v>5</v>
      </c>
      <c r="M409">
        <v>5</v>
      </c>
      <c r="N409">
        <v>5</v>
      </c>
      <c r="O409">
        <v>2</v>
      </c>
      <c r="P409">
        <v>324.81</v>
      </c>
      <c r="Q409">
        <v>73</v>
      </c>
      <c r="S409">
        <f t="shared" si="24"/>
        <v>557.6865165165168</v>
      </c>
      <c r="T409">
        <f t="shared" si="25"/>
        <v>153</v>
      </c>
      <c r="U409">
        <f t="shared" si="26"/>
        <v>1.9139139139139139</v>
      </c>
      <c r="V409">
        <f t="shared" si="27"/>
        <v>557.6865165165168</v>
      </c>
    </row>
    <row r="410" spans="1:22" x14ac:dyDescent="0.25">
      <c r="A410">
        <v>3886</v>
      </c>
      <c r="B410" s="1">
        <v>43385</v>
      </c>
      <c r="C410" t="s">
        <v>54</v>
      </c>
      <c r="D410" t="s">
        <v>18</v>
      </c>
      <c r="E410" t="s">
        <v>28</v>
      </c>
      <c r="F410" t="s">
        <v>33</v>
      </c>
      <c r="G410" t="s">
        <v>61</v>
      </c>
      <c r="H410" t="s">
        <v>69</v>
      </c>
      <c r="I410" t="s">
        <v>42</v>
      </c>
      <c r="J410" t="s">
        <v>30</v>
      </c>
      <c r="K410" t="s">
        <v>25</v>
      </c>
      <c r="L410">
        <v>5</v>
      </c>
      <c r="M410">
        <v>2</v>
      </c>
      <c r="N410">
        <v>5</v>
      </c>
      <c r="O410">
        <v>4</v>
      </c>
      <c r="P410">
        <v>298.10000000000002</v>
      </c>
      <c r="Q410">
        <v>41</v>
      </c>
      <c r="S410">
        <f t="shared" si="24"/>
        <v>557.6865165165168</v>
      </c>
      <c r="T410">
        <f t="shared" si="25"/>
        <v>153</v>
      </c>
      <c r="U410">
        <f t="shared" si="26"/>
        <v>1.9139139139139139</v>
      </c>
      <c r="V410">
        <f t="shared" si="27"/>
        <v>557.6865165165168</v>
      </c>
    </row>
    <row r="411" spans="1:22" x14ac:dyDescent="0.25">
      <c r="A411">
        <v>3889</v>
      </c>
      <c r="B411" s="1">
        <v>44809</v>
      </c>
      <c r="C411" t="s">
        <v>37</v>
      </c>
      <c r="D411" t="s">
        <v>18</v>
      </c>
      <c r="E411" t="s">
        <v>19</v>
      </c>
      <c r="F411" t="s">
        <v>33</v>
      </c>
      <c r="G411" t="s">
        <v>76</v>
      </c>
      <c r="H411" t="s">
        <v>38</v>
      </c>
      <c r="I411" t="s">
        <v>23</v>
      </c>
      <c r="J411" t="s">
        <v>30</v>
      </c>
      <c r="K411" t="s">
        <v>25</v>
      </c>
      <c r="L411">
        <v>2</v>
      </c>
      <c r="M411">
        <v>1</v>
      </c>
      <c r="N411">
        <v>1</v>
      </c>
      <c r="O411">
        <v>1</v>
      </c>
      <c r="P411">
        <v>292.8</v>
      </c>
      <c r="Q411">
        <v>40</v>
      </c>
      <c r="S411">
        <f t="shared" si="24"/>
        <v>557.6865165165168</v>
      </c>
      <c r="T411">
        <f t="shared" si="25"/>
        <v>153</v>
      </c>
      <c r="U411">
        <f t="shared" si="26"/>
        <v>1.9139139139139139</v>
      </c>
      <c r="V411">
        <f t="shared" si="27"/>
        <v>557.6865165165168</v>
      </c>
    </row>
    <row r="412" spans="1:22" x14ac:dyDescent="0.25">
      <c r="A412">
        <v>3890</v>
      </c>
      <c r="B412" s="1">
        <v>44761</v>
      </c>
      <c r="C412" t="s">
        <v>43</v>
      </c>
      <c r="D412" t="s">
        <v>18</v>
      </c>
      <c r="E412" t="s">
        <v>32</v>
      </c>
      <c r="F412" t="s">
        <v>33</v>
      </c>
      <c r="G412" t="s">
        <v>61</v>
      </c>
      <c r="H412" t="s">
        <v>38</v>
      </c>
      <c r="I412" t="s">
        <v>23</v>
      </c>
      <c r="J412" t="s">
        <v>30</v>
      </c>
      <c r="K412" t="s">
        <v>25</v>
      </c>
      <c r="L412">
        <v>2</v>
      </c>
      <c r="M412">
        <v>3</v>
      </c>
      <c r="N412">
        <v>3</v>
      </c>
      <c r="O412">
        <v>4</v>
      </c>
      <c r="P412">
        <v>596.62</v>
      </c>
      <c r="Q412">
        <v>23</v>
      </c>
      <c r="S412">
        <f t="shared" si="24"/>
        <v>557.6865165165168</v>
      </c>
      <c r="T412">
        <f t="shared" si="25"/>
        <v>153</v>
      </c>
      <c r="U412">
        <f t="shared" si="26"/>
        <v>1.9139139139139139</v>
      </c>
      <c r="V412">
        <f t="shared" si="27"/>
        <v>557.6865165165168</v>
      </c>
    </row>
    <row r="413" spans="1:22" x14ac:dyDescent="0.25">
      <c r="A413">
        <v>3891</v>
      </c>
      <c r="B413" s="1">
        <v>44707</v>
      </c>
      <c r="C413" t="s">
        <v>40</v>
      </c>
      <c r="D413" t="s">
        <v>18</v>
      </c>
      <c r="E413" t="s">
        <v>32</v>
      </c>
      <c r="F413" t="s">
        <v>20</v>
      </c>
      <c r="G413" t="s">
        <v>61</v>
      </c>
      <c r="H413" t="s">
        <v>47</v>
      </c>
      <c r="I413" t="s">
        <v>23</v>
      </c>
      <c r="J413" t="s">
        <v>30</v>
      </c>
      <c r="K413" t="s">
        <v>25</v>
      </c>
      <c r="L413">
        <v>3</v>
      </c>
      <c r="M413">
        <v>2</v>
      </c>
      <c r="N413">
        <v>2</v>
      </c>
      <c r="O413">
        <v>5</v>
      </c>
      <c r="P413">
        <v>774.74</v>
      </c>
      <c r="Q413">
        <v>62</v>
      </c>
      <c r="S413">
        <f t="shared" si="24"/>
        <v>557.6865165165168</v>
      </c>
      <c r="T413">
        <f t="shared" si="25"/>
        <v>153</v>
      </c>
      <c r="U413">
        <f t="shared" si="26"/>
        <v>1.9139139139139139</v>
      </c>
      <c r="V413">
        <f t="shared" si="27"/>
        <v>557.6865165165168</v>
      </c>
    </row>
    <row r="414" spans="1:22" x14ac:dyDescent="0.25">
      <c r="A414">
        <v>3892</v>
      </c>
      <c r="B414" s="1">
        <v>44865</v>
      </c>
      <c r="C414" t="s">
        <v>17</v>
      </c>
      <c r="D414" t="s">
        <v>18</v>
      </c>
      <c r="E414" t="s">
        <v>32</v>
      </c>
      <c r="F414" t="s">
        <v>27</v>
      </c>
      <c r="G414" t="s">
        <v>61</v>
      </c>
      <c r="H414" t="s">
        <v>47</v>
      </c>
      <c r="I414" t="s">
        <v>23</v>
      </c>
      <c r="J414" t="s">
        <v>30</v>
      </c>
      <c r="K414" t="s">
        <v>25</v>
      </c>
      <c r="L414">
        <v>5</v>
      </c>
      <c r="M414">
        <v>4</v>
      </c>
      <c r="N414">
        <v>2</v>
      </c>
      <c r="O414">
        <v>5</v>
      </c>
      <c r="P414">
        <v>894.59</v>
      </c>
      <c r="Q414">
        <v>44</v>
      </c>
      <c r="S414">
        <f t="shared" si="24"/>
        <v>557.6865165165168</v>
      </c>
      <c r="T414">
        <f t="shared" si="25"/>
        <v>153</v>
      </c>
      <c r="U414">
        <f t="shared" si="26"/>
        <v>1.9139139139139139</v>
      </c>
      <c r="V414">
        <f t="shared" si="27"/>
        <v>557.6865165165168</v>
      </c>
    </row>
    <row r="415" spans="1:22" x14ac:dyDescent="0.25">
      <c r="A415">
        <v>3893</v>
      </c>
      <c r="B415" s="1">
        <v>45007</v>
      </c>
      <c r="C415" t="s">
        <v>26</v>
      </c>
      <c r="D415" t="s">
        <v>18</v>
      </c>
      <c r="E415" t="s">
        <v>32</v>
      </c>
      <c r="F415" t="s">
        <v>33</v>
      </c>
      <c r="G415" t="s">
        <v>61</v>
      </c>
      <c r="H415" t="s">
        <v>38</v>
      </c>
      <c r="I415" t="s">
        <v>23</v>
      </c>
      <c r="J415" t="s">
        <v>24</v>
      </c>
      <c r="K415" t="s">
        <v>25</v>
      </c>
      <c r="L415">
        <v>3</v>
      </c>
      <c r="M415">
        <v>1</v>
      </c>
      <c r="N415">
        <v>2</v>
      </c>
      <c r="O415">
        <v>1</v>
      </c>
      <c r="P415">
        <v>242.36</v>
      </c>
      <c r="Q415">
        <v>70</v>
      </c>
      <c r="S415">
        <f t="shared" si="24"/>
        <v>557.6865165165168</v>
      </c>
      <c r="T415">
        <f t="shared" si="25"/>
        <v>153</v>
      </c>
      <c r="U415">
        <f t="shared" si="26"/>
        <v>1.9139139139139139</v>
      </c>
      <c r="V415">
        <f t="shared" si="27"/>
        <v>557.6865165165168</v>
      </c>
    </row>
    <row r="416" spans="1:22" x14ac:dyDescent="0.25">
      <c r="A416">
        <v>3894</v>
      </c>
      <c r="B416" s="1">
        <v>45075</v>
      </c>
      <c r="C416" t="s">
        <v>54</v>
      </c>
      <c r="D416" t="s">
        <v>18</v>
      </c>
      <c r="E416" t="s">
        <v>32</v>
      </c>
      <c r="F416" t="s">
        <v>27</v>
      </c>
      <c r="G416" t="s">
        <v>61</v>
      </c>
      <c r="H416" t="s">
        <v>29</v>
      </c>
      <c r="I416" t="s">
        <v>23</v>
      </c>
      <c r="J416" t="s">
        <v>24</v>
      </c>
      <c r="K416" t="s">
        <v>25</v>
      </c>
      <c r="L416">
        <v>4</v>
      </c>
      <c r="M416">
        <v>3</v>
      </c>
      <c r="N416">
        <v>5</v>
      </c>
      <c r="O416">
        <v>4</v>
      </c>
      <c r="P416">
        <v>533.27</v>
      </c>
      <c r="Q416">
        <v>64</v>
      </c>
      <c r="S416">
        <f t="shared" si="24"/>
        <v>557.6865165165168</v>
      </c>
      <c r="T416">
        <f t="shared" si="25"/>
        <v>153</v>
      </c>
      <c r="U416">
        <f t="shared" si="26"/>
        <v>1.9139139139139139</v>
      </c>
      <c r="V416">
        <f t="shared" si="27"/>
        <v>557.6865165165168</v>
      </c>
    </row>
    <row r="417" spans="1:22" x14ac:dyDescent="0.25">
      <c r="A417">
        <v>3895</v>
      </c>
      <c r="B417" s="1">
        <v>43884</v>
      </c>
      <c r="C417" t="s">
        <v>49</v>
      </c>
      <c r="D417" t="s">
        <v>18</v>
      </c>
      <c r="E417" t="s">
        <v>32</v>
      </c>
      <c r="F417" t="s">
        <v>20</v>
      </c>
      <c r="G417" t="s">
        <v>61</v>
      </c>
      <c r="H417" t="s">
        <v>56</v>
      </c>
      <c r="I417" t="s">
        <v>23</v>
      </c>
      <c r="J417" t="s">
        <v>24</v>
      </c>
      <c r="K417" t="s">
        <v>25</v>
      </c>
      <c r="L417">
        <v>2</v>
      </c>
      <c r="M417">
        <v>1</v>
      </c>
      <c r="N417">
        <v>2</v>
      </c>
      <c r="O417">
        <v>1</v>
      </c>
      <c r="P417">
        <v>983.77</v>
      </c>
      <c r="Q417">
        <v>77</v>
      </c>
      <c r="S417">
        <f t="shared" si="24"/>
        <v>557.6865165165168</v>
      </c>
      <c r="T417">
        <f t="shared" si="25"/>
        <v>153</v>
      </c>
      <c r="U417">
        <f t="shared" si="26"/>
        <v>1.9139139139139139</v>
      </c>
      <c r="V417">
        <f t="shared" si="27"/>
        <v>557.6865165165168</v>
      </c>
    </row>
    <row r="418" spans="1:22" x14ac:dyDescent="0.25">
      <c r="A418">
        <v>3896</v>
      </c>
      <c r="B418" s="1">
        <v>43690</v>
      </c>
      <c r="C418" t="s">
        <v>31</v>
      </c>
      <c r="D418" t="s">
        <v>18</v>
      </c>
      <c r="E418" t="s">
        <v>28</v>
      </c>
      <c r="F418" t="s">
        <v>33</v>
      </c>
      <c r="G418" t="s">
        <v>61</v>
      </c>
      <c r="H418" t="s">
        <v>47</v>
      </c>
      <c r="I418" t="s">
        <v>23</v>
      </c>
      <c r="J418" t="s">
        <v>24</v>
      </c>
      <c r="K418" t="s">
        <v>25</v>
      </c>
      <c r="L418">
        <v>5</v>
      </c>
      <c r="M418">
        <v>3</v>
      </c>
      <c r="N418">
        <v>1</v>
      </c>
      <c r="O418">
        <v>4</v>
      </c>
      <c r="P418">
        <v>293.64</v>
      </c>
      <c r="Q418">
        <v>39</v>
      </c>
      <c r="S418">
        <f t="shared" si="24"/>
        <v>557.6865165165168</v>
      </c>
      <c r="T418">
        <f t="shared" si="25"/>
        <v>153</v>
      </c>
      <c r="U418">
        <f t="shared" si="26"/>
        <v>1.9139139139139139</v>
      </c>
      <c r="V418">
        <f t="shared" si="27"/>
        <v>557.6865165165168</v>
      </c>
    </row>
    <row r="419" spans="1:22" x14ac:dyDescent="0.25">
      <c r="A419">
        <v>3897</v>
      </c>
      <c r="B419" s="1">
        <v>43549</v>
      </c>
      <c r="C419" t="s">
        <v>49</v>
      </c>
      <c r="D419" t="s">
        <v>18</v>
      </c>
      <c r="E419" t="s">
        <v>28</v>
      </c>
      <c r="F419" t="s">
        <v>27</v>
      </c>
      <c r="G419" t="s">
        <v>61</v>
      </c>
      <c r="H419" t="s">
        <v>29</v>
      </c>
      <c r="I419" t="s">
        <v>42</v>
      </c>
      <c r="J419" t="s">
        <v>24</v>
      </c>
      <c r="K419" t="s">
        <v>25</v>
      </c>
      <c r="L419">
        <v>5</v>
      </c>
      <c r="M419">
        <v>4</v>
      </c>
      <c r="N419">
        <v>3</v>
      </c>
      <c r="O419">
        <v>3</v>
      </c>
      <c r="P419">
        <v>380.61</v>
      </c>
      <c r="Q419">
        <v>63</v>
      </c>
      <c r="S419">
        <f t="shared" si="24"/>
        <v>557.6865165165168</v>
      </c>
      <c r="T419">
        <f t="shared" si="25"/>
        <v>153</v>
      </c>
      <c r="U419">
        <f t="shared" si="26"/>
        <v>1.9139139139139139</v>
      </c>
      <c r="V419">
        <f t="shared" si="27"/>
        <v>557.6865165165168</v>
      </c>
    </row>
    <row r="420" spans="1:22" x14ac:dyDescent="0.25">
      <c r="A420">
        <v>3900</v>
      </c>
      <c r="B420" s="1">
        <v>45093</v>
      </c>
      <c r="C420" t="s">
        <v>17</v>
      </c>
      <c r="D420" t="s">
        <v>18</v>
      </c>
      <c r="E420" t="s">
        <v>19</v>
      </c>
      <c r="F420" t="s">
        <v>20</v>
      </c>
      <c r="G420" t="s">
        <v>61</v>
      </c>
      <c r="H420" t="s">
        <v>41</v>
      </c>
      <c r="I420" t="s">
        <v>23</v>
      </c>
      <c r="J420" t="s">
        <v>24</v>
      </c>
      <c r="K420" t="s">
        <v>25</v>
      </c>
      <c r="L420">
        <v>5</v>
      </c>
      <c r="M420">
        <v>2</v>
      </c>
      <c r="N420">
        <v>1</v>
      </c>
      <c r="O420">
        <v>5</v>
      </c>
      <c r="P420">
        <v>143.21</v>
      </c>
      <c r="Q420">
        <v>28</v>
      </c>
      <c r="S420">
        <f t="shared" si="24"/>
        <v>557.6865165165168</v>
      </c>
      <c r="T420">
        <f t="shared" si="25"/>
        <v>153</v>
      </c>
      <c r="U420">
        <f t="shared" si="26"/>
        <v>1.9139139139139139</v>
      </c>
      <c r="V420">
        <f t="shared" si="27"/>
        <v>557.6865165165168</v>
      </c>
    </row>
    <row r="421" spans="1:22" x14ac:dyDescent="0.25">
      <c r="A421">
        <v>3901</v>
      </c>
      <c r="B421" s="1">
        <v>44365</v>
      </c>
      <c r="C421" t="s">
        <v>26</v>
      </c>
      <c r="D421" t="s">
        <v>18</v>
      </c>
      <c r="E421" t="s">
        <v>28</v>
      </c>
      <c r="F421" t="s">
        <v>27</v>
      </c>
      <c r="G421" t="s">
        <v>76</v>
      </c>
      <c r="H421" t="s">
        <v>65</v>
      </c>
      <c r="I421" t="s">
        <v>23</v>
      </c>
      <c r="J421" t="s">
        <v>30</v>
      </c>
      <c r="K421" t="s">
        <v>25</v>
      </c>
      <c r="L421">
        <v>1</v>
      </c>
      <c r="M421">
        <v>2</v>
      </c>
      <c r="N421">
        <v>5</v>
      </c>
      <c r="O421">
        <v>1</v>
      </c>
      <c r="P421">
        <v>876.73</v>
      </c>
      <c r="Q421">
        <v>33</v>
      </c>
      <c r="S421">
        <f t="shared" si="24"/>
        <v>557.6865165165168</v>
      </c>
      <c r="T421">
        <f t="shared" si="25"/>
        <v>153</v>
      </c>
      <c r="U421">
        <f t="shared" si="26"/>
        <v>1.9139139139139139</v>
      </c>
      <c r="V421">
        <f t="shared" si="27"/>
        <v>557.6865165165168</v>
      </c>
    </row>
    <row r="422" spans="1:22" x14ac:dyDescent="0.25">
      <c r="A422">
        <v>3902</v>
      </c>
      <c r="B422" s="1">
        <v>45068</v>
      </c>
      <c r="C422" t="s">
        <v>54</v>
      </c>
      <c r="D422" t="s">
        <v>18</v>
      </c>
      <c r="E422" t="s">
        <v>19</v>
      </c>
      <c r="F422" t="s">
        <v>33</v>
      </c>
      <c r="G422" t="s">
        <v>76</v>
      </c>
      <c r="H422" t="s">
        <v>67</v>
      </c>
      <c r="I422" t="s">
        <v>23</v>
      </c>
      <c r="J422" t="s">
        <v>30</v>
      </c>
      <c r="K422" t="s">
        <v>25</v>
      </c>
      <c r="L422">
        <v>3</v>
      </c>
      <c r="M422">
        <v>1</v>
      </c>
      <c r="N422">
        <v>1</v>
      </c>
      <c r="O422">
        <v>4</v>
      </c>
      <c r="P422">
        <v>768.05</v>
      </c>
      <c r="Q422">
        <v>59</v>
      </c>
      <c r="S422">
        <f t="shared" si="24"/>
        <v>557.6865165165168</v>
      </c>
      <c r="T422">
        <f t="shared" si="25"/>
        <v>153</v>
      </c>
      <c r="U422">
        <f t="shared" si="26"/>
        <v>1.9139139139139139</v>
      </c>
      <c r="V422">
        <f t="shared" si="27"/>
        <v>557.6865165165168</v>
      </c>
    </row>
    <row r="423" spans="1:22" x14ac:dyDescent="0.25">
      <c r="A423">
        <v>3903</v>
      </c>
      <c r="B423" s="1">
        <v>43599</v>
      </c>
      <c r="C423" t="s">
        <v>37</v>
      </c>
      <c r="D423" t="s">
        <v>18</v>
      </c>
      <c r="E423" t="s">
        <v>32</v>
      </c>
      <c r="F423" t="s">
        <v>27</v>
      </c>
      <c r="G423" t="s">
        <v>61</v>
      </c>
      <c r="H423" t="s">
        <v>41</v>
      </c>
      <c r="I423" t="s">
        <v>23</v>
      </c>
      <c r="J423" t="s">
        <v>30</v>
      </c>
      <c r="K423" t="s">
        <v>25</v>
      </c>
      <c r="L423">
        <v>1</v>
      </c>
      <c r="M423">
        <v>4</v>
      </c>
      <c r="N423">
        <v>3</v>
      </c>
      <c r="O423">
        <v>4</v>
      </c>
      <c r="P423">
        <v>153.15</v>
      </c>
      <c r="Q423">
        <v>26</v>
      </c>
      <c r="S423">
        <f t="shared" si="24"/>
        <v>557.6865165165168</v>
      </c>
      <c r="T423">
        <f t="shared" si="25"/>
        <v>153</v>
      </c>
      <c r="U423">
        <f t="shared" si="26"/>
        <v>1.9139139139139139</v>
      </c>
      <c r="V423">
        <f t="shared" si="27"/>
        <v>557.6865165165168</v>
      </c>
    </row>
    <row r="424" spans="1:22" x14ac:dyDescent="0.25">
      <c r="A424">
        <v>3904</v>
      </c>
      <c r="B424" s="1">
        <v>44192</v>
      </c>
      <c r="C424" t="s">
        <v>60</v>
      </c>
      <c r="D424" t="s">
        <v>18</v>
      </c>
      <c r="E424" t="s">
        <v>19</v>
      </c>
      <c r="F424" t="s">
        <v>27</v>
      </c>
      <c r="G424" t="s">
        <v>61</v>
      </c>
      <c r="H424" t="s">
        <v>47</v>
      </c>
      <c r="I424" t="s">
        <v>23</v>
      </c>
      <c r="J424" t="s">
        <v>30</v>
      </c>
      <c r="K424" t="s">
        <v>25</v>
      </c>
      <c r="L424">
        <v>4</v>
      </c>
      <c r="M424">
        <v>4</v>
      </c>
      <c r="N424">
        <v>1</v>
      </c>
      <c r="O424">
        <v>5</v>
      </c>
      <c r="P424">
        <v>339.73</v>
      </c>
      <c r="Q424">
        <v>50</v>
      </c>
      <c r="S424">
        <f t="shared" si="24"/>
        <v>557.6865165165168</v>
      </c>
      <c r="T424">
        <f t="shared" si="25"/>
        <v>153</v>
      </c>
      <c r="U424">
        <f t="shared" si="26"/>
        <v>1.9139139139139139</v>
      </c>
      <c r="V424">
        <f t="shared" si="27"/>
        <v>557.6865165165168</v>
      </c>
    </row>
    <row r="425" spans="1:22" x14ac:dyDescent="0.25">
      <c r="A425">
        <v>3905</v>
      </c>
      <c r="B425" s="1">
        <v>44047</v>
      </c>
      <c r="C425" t="s">
        <v>43</v>
      </c>
      <c r="D425" t="s">
        <v>18</v>
      </c>
      <c r="E425" t="s">
        <v>32</v>
      </c>
      <c r="F425" t="s">
        <v>27</v>
      </c>
      <c r="G425" t="s">
        <v>61</v>
      </c>
      <c r="H425" t="s">
        <v>73</v>
      </c>
      <c r="I425" t="s">
        <v>23</v>
      </c>
      <c r="J425" t="s">
        <v>24</v>
      </c>
      <c r="K425" t="s">
        <v>25</v>
      </c>
      <c r="L425">
        <v>5</v>
      </c>
      <c r="M425">
        <v>5</v>
      </c>
      <c r="N425">
        <v>5</v>
      </c>
      <c r="O425">
        <v>3</v>
      </c>
      <c r="P425">
        <v>233.22</v>
      </c>
      <c r="Q425">
        <v>62</v>
      </c>
      <c r="S425">
        <f t="shared" si="24"/>
        <v>557.6865165165168</v>
      </c>
      <c r="T425">
        <f t="shared" si="25"/>
        <v>153</v>
      </c>
      <c r="U425">
        <f t="shared" si="26"/>
        <v>1.9139139139139139</v>
      </c>
      <c r="V425">
        <f t="shared" si="27"/>
        <v>557.6865165165168</v>
      </c>
    </row>
    <row r="426" spans="1:22" x14ac:dyDescent="0.25">
      <c r="A426">
        <v>3906</v>
      </c>
      <c r="B426" s="1">
        <v>44068</v>
      </c>
      <c r="C426" t="s">
        <v>49</v>
      </c>
      <c r="D426" t="s">
        <v>18</v>
      </c>
      <c r="E426" t="s">
        <v>19</v>
      </c>
      <c r="F426" t="s">
        <v>20</v>
      </c>
      <c r="G426" t="s">
        <v>61</v>
      </c>
      <c r="H426" t="s">
        <v>67</v>
      </c>
      <c r="I426" t="s">
        <v>23</v>
      </c>
      <c r="J426" t="s">
        <v>24</v>
      </c>
      <c r="K426" t="s">
        <v>25</v>
      </c>
      <c r="L426">
        <v>3</v>
      </c>
      <c r="M426">
        <v>2</v>
      </c>
      <c r="N426">
        <v>4</v>
      </c>
      <c r="O426">
        <v>2</v>
      </c>
      <c r="P426">
        <v>735.44</v>
      </c>
      <c r="Q426">
        <v>45</v>
      </c>
      <c r="S426">
        <f t="shared" si="24"/>
        <v>557.6865165165168</v>
      </c>
      <c r="T426">
        <f t="shared" si="25"/>
        <v>153</v>
      </c>
      <c r="U426">
        <f t="shared" si="26"/>
        <v>1.9139139139139139</v>
      </c>
      <c r="V426">
        <f t="shared" si="27"/>
        <v>557.6865165165168</v>
      </c>
    </row>
    <row r="427" spans="1:22" x14ac:dyDescent="0.25">
      <c r="A427">
        <v>3907</v>
      </c>
      <c r="B427" s="1">
        <v>44616</v>
      </c>
      <c r="C427" t="s">
        <v>31</v>
      </c>
      <c r="D427" t="s">
        <v>18</v>
      </c>
      <c r="E427" t="s">
        <v>32</v>
      </c>
      <c r="F427" t="s">
        <v>27</v>
      </c>
      <c r="G427" t="s">
        <v>61</v>
      </c>
      <c r="H427" t="s">
        <v>47</v>
      </c>
      <c r="I427" t="s">
        <v>23</v>
      </c>
      <c r="J427" t="s">
        <v>24</v>
      </c>
      <c r="K427" t="s">
        <v>25</v>
      </c>
      <c r="L427">
        <v>3</v>
      </c>
      <c r="M427">
        <v>2</v>
      </c>
      <c r="N427">
        <v>5</v>
      </c>
      <c r="O427">
        <v>3</v>
      </c>
      <c r="P427">
        <v>281.7</v>
      </c>
      <c r="Q427">
        <v>58</v>
      </c>
      <c r="S427">
        <f t="shared" si="24"/>
        <v>557.6865165165168</v>
      </c>
      <c r="T427">
        <f t="shared" si="25"/>
        <v>153</v>
      </c>
      <c r="U427">
        <f t="shared" si="26"/>
        <v>1.9139139139139139</v>
      </c>
      <c r="V427">
        <f t="shared" si="27"/>
        <v>557.6865165165168</v>
      </c>
    </row>
    <row r="428" spans="1:22" x14ac:dyDescent="0.25">
      <c r="A428">
        <v>3908</v>
      </c>
      <c r="B428" s="1">
        <v>43683</v>
      </c>
      <c r="C428" t="s">
        <v>40</v>
      </c>
      <c r="D428" t="s">
        <v>18</v>
      </c>
      <c r="E428" t="s">
        <v>28</v>
      </c>
      <c r="F428" t="s">
        <v>20</v>
      </c>
      <c r="G428" t="s">
        <v>61</v>
      </c>
      <c r="H428" t="s">
        <v>56</v>
      </c>
      <c r="I428" t="s">
        <v>23</v>
      </c>
      <c r="J428" t="s">
        <v>24</v>
      </c>
      <c r="K428" t="s">
        <v>64</v>
      </c>
      <c r="L428">
        <v>2</v>
      </c>
      <c r="M428">
        <v>5</v>
      </c>
      <c r="N428">
        <v>3</v>
      </c>
      <c r="O428">
        <v>1</v>
      </c>
      <c r="P428">
        <v>489.69</v>
      </c>
      <c r="Q428">
        <v>33</v>
      </c>
      <c r="S428">
        <f t="shared" si="24"/>
        <v>557.6865165165168</v>
      </c>
      <c r="T428">
        <f t="shared" si="25"/>
        <v>153</v>
      </c>
      <c r="U428">
        <f t="shared" si="26"/>
        <v>1.9139139139139139</v>
      </c>
      <c r="V428">
        <f t="shared" si="27"/>
        <v>557.6865165165168</v>
      </c>
    </row>
    <row r="429" spans="1:22" x14ac:dyDescent="0.25">
      <c r="A429">
        <v>3909</v>
      </c>
      <c r="B429" s="1">
        <v>44409</v>
      </c>
      <c r="C429" t="s">
        <v>17</v>
      </c>
      <c r="D429" t="s">
        <v>18</v>
      </c>
      <c r="E429" t="s">
        <v>28</v>
      </c>
      <c r="F429" t="s">
        <v>20</v>
      </c>
      <c r="G429" t="s">
        <v>61</v>
      </c>
      <c r="H429" t="s">
        <v>44</v>
      </c>
      <c r="I429" t="s">
        <v>23</v>
      </c>
      <c r="J429" t="s">
        <v>24</v>
      </c>
      <c r="K429" t="s">
        <v>64</v>
      </c>
      <c r="L429">
        <v>1</v>
      </c>
      <c r="M429">
        <v>1</v>
      </c>
      <c r="N429">
        <v>2</v>
      </c>
      <c r="O429">
        <v>4</v>
      </c>
      <c r="P429">
        <v>436.23</v>
      </c>
      <c r="Q429">
        <v>77</v>
      </c>
      <c r="S429">
        <f t="shared" si="24"/>
        <v>557.6865165165168</v>
      </c>
      <c r="T429">
        <f t="shared" si="25"/>
        <v>153</v>
      </c>
      <c r="U429">
        <f t="shared" si="26"/>
        <v>1.9139139139139139</v>
      </c>
      <c r="V429">
        <f t="shared" si="27"/>
        <v>557.6865165165168</v>
      </c>
    </row>
    <row r="430" spans="1:22" x14ac:dyDescent="0.25">
      <c r="A430">
        <v>3910</v>
      </c>
      <c r="B430" s="1">
        <v>44755</v>
      </c>
      <c r="C430" t="s">
        <v>43</v>
      </c>
      <c r="D430" t="s">
        <v>18</v>
      </c>
      <c r="E430" t="s">
        <v>28</v>
      </c>
      <c r="F430" t="s">
        <v>27</v>
      </c>
      <c r="G430" t="s">
        <v>61</v>
      </c>
      <c r="H430" t="s">
        <v>69</v>
      </c>
      <c r="I430" t="s">
        <v>23</v>
      </c>
      <c r="J430" t="s">
        <v>24</v>
      </c>
      <c r="K430" t="s">
        <v>64</v>
      </c>
      <c r="L430">
        <v>5</v>
      </c>
      <c r="M430">
        <v>3</v>
      </c>
      <c r="N430">
        <v>4</v>
      </c>
      <c r="O430">
        <v>5</v>
      </c>
      <c r="P430">
        <v>248.85</v>
      </c>
      <c r="Q430">
        <v>25</v>
      </c>
      <c r="S430">
        <f t="shared" si="24"/>
        <v>557.6865165165168</v>
      </c>
      <c r="T430">
        <f t="shared" si="25"/>
        <v>153</v>
      </c>
      <c r="U430">
        <f t="shared" si="26"/>
        <v>1.9139139139139139</v>
      </c>
      <c r="V430">
        <f t="shared" si="27"/>
        <v>557.6865165165168</v>
      </c>
    </row>
    <row r="431" spans="1:22" x14ac:dyDescent="0.25">
      <c r="A431">
        <v>3911</v>
      </c>
      <c r="B431" s="1">
        <v>44344</v>
      </c>
      <c r="C431" t="s">
        <v>49</v>
      </c>
      <c r="D431" t="s">
        <v>18</v>
      </c>
      <c r="E431" t="s">
        <v>32</v>
      </c>
      <c r="F431" t="s">
        <v>27</v>
      </c>
      <c r="G431" t="s">
        <v>61</v>
      </c>
      <c r="H431" t="s">
        <v>56</v>
      </c>
      <c r="I431" t="s">
        <v>42</v>
      </c>
      <c r="J431" t="s">
        <v>30</v>
      </c>
      <c r="K431" t="s">
        <v>25</v>
      </c>
      <c r="L431">
        <v>2</v>
      </c>
      <c r="M431">
        <v>5</v>
      </c>
      <c r="N431">
        <v>4</v>
      </c>
      <c r="O431">
        <v>5</v>
      </c>
      <c r="P431">
        <v>395.22</v>
      </c>
      <c r="Q431">
        <v>71</v>
      </c>
      <c r="S431">
        <f t="shared" si="24"/>
        <v>557.6865165165168</v>
      </c>
      <c r="T431">
        <f t="shared" si="25"/>
        <v>153</v>
      </c>
      <c r="U431">
        <f t="shared" si="26"/>
        <v>1.9139139139139139</v>
      </c>
      <c r="V431">
        <f t="shared" si="27"/>
        <v>557.6865165165168</v>
      </c>
    </row>
    <row r="432" spans="1:22" x14ac:dyDescent="0.25">
      <c r="A432">
        <v>3914</v>
      </c>
      <c r="B432" s="1">
        <v>43865</v>
      </c>
      <c r="C432" t="s">
        <v>52</v>
      </c>
      <c r="D432" t="s">
        <v>18</v>
      </c>
      <c r="E432" t="s">
        <v>19</v>
      </c>
      <c r="F432" t="s">
        <v>20</v>
      </c>
      <c r="G432" t="s">
        <v>76</v>
      </c>
      <c r="H432" t="s">
        <v>47</v>
      </c>
      <c r="I432" t="s">
        <v>23</v>
      </c>
      <c r="J432" t="s">
        <v>30</v>
      </c>
      <c r="K432" t="s">
        <v>46</v>
      </c>
      <c r="L432">
        <v>3</v>
      </c>
      <c r="M432">
        <v>5</v>
      </c>
      <c r="N432">
        <v>3</v>
      </c>
      <c r="O432">
        <v>1</v>
      </c>
      <c r="P432">
        <v>559.86</v>
      </c>
      <c r="Q432">
        <v>62</v>
      </c>
      <c r="S432">
        <f t="shared" si="24"/>
        <v>557.6865165165168</v>
      </c>
      <c r="T432">
        <f t="shared" si="25"/>
        <v>153</v>
      </c>
      <c r="U432">
        <f t="shared" si="26"/>
        <v>1.9139139139139139</v>
      </c>
      <c r="V432">
        <f t="shared" si="27"/>
        <v>557.6865165165168</v>
      </c>
    </row>
    <row r="433" spans="1:22" x14ac:dyDescent="0.25">
      <c r="A433">
        <v>3915</v>
      </c>
      <c r="B433" s="1">
        <v>44801</v>
      </c>
      <c r="C433" t="s">
        <v>37</v>
      </c>
      <c r="D433" t="s">
        <v>18</v>
      </c>
      <c r="E433" t="s">
        <v>19</v>
      </c>
      <c r="F433" t="s">
        <v>33</v>
      </c>
      <c r="G433" t="s">
        <v>61</v>
      </c>
      <c r="H433" t="s">
        <v>41</v>
      </c>
      <c r="I433" t="s">
        <v>23</v>
      </c>
      <c r="J433" t="s">
        <v>30</v>
      </c>
      <c r="K433" t="s">
        <v>25</v>
      </c>
      <c r="L433">
        <v>5</v>
      </c>
      <c r="M433">
        <v>3</v>
      </c>
      <c r="N433">
        <v>1</v>
      </c>
      <c r="O433">
        <v>2</v>
      </c>
      <c r="P433">
        <v>602.21</v>
      </c>
      <c r="Q433">
        <v>31</v>
      </c>
      <c r="S433">
        <f t="shared" si="24"/>
        <v>557.6865165165168</v>
      </c>
      <c r="T433">
        <f t="shared" si="25"/>
        <v>153</v>
      </c>
      <c r="U433">
        <f t="shared" si="26"/>
        <v>1.9139139139139139</v>
      </c>
      <c r="V433">
        <f t="shared" si="27"/>
        <v>557.6865165165168</v>
      </c>
    </row>
    <row r="434" spans="1:22" x14ac:dyDescent="0.25">
      <c r="A434">
        <v>3916</v>
      </c>
      <c r="B434" s="1">
        <v>44739</v>
      </c>
      <c r="C434" t="s">
        <v>43</v>
      </c>
      <c r="D434" t="s">
        <v>18</v>
      </c>
      <c r="E434" t="s">
        <v>28</v>
      </c>
      <c r="F434" t="s">
        <v>20</v>
      </c>
      <c r="G434" t="s">
        <v>61</v>
      </c>
      <c r="H434" t="s">
        <v>62</v>
      </c>
      <c r="I434" t="s">
        <v>23</v>
      </c>
      <c r="J434" t="s">
        <v>30</v>
      </c>
      <c r="K434" t="s">
        <v>25</v>
      </c>
      <c r="L434">
        <v>1</v>
      </c>
      <c r="M434">
        <v>3</v>
      </c>
      <c r="N434">
        <v>1</v>
      </c>
      <c r="O434">
        <v>4</v>
      </c>
      <c r="P434">
        <v>343.6</v>
      </c>
      <c r="Q434">
        <v>58</v>
      </c>
      <c r="S434">
        <f t="shared" si="24"/>
        <v>557.6865165165168</v>
      </c>
      <c r="T434">
        <f t="shared" si="25"/>
        <v>153</v>
      </c>
      <c r="U434">
        <f t="shared" si="26"/>
        <v>1.9139139139139139</v>
      </c>
      <c r="V434">
        <f t="shared" si="27"/>
        <v>557.6865165165168</v>
      </c>
    </row>
    <row r="435" spans="1:22" x14ac:dyDescent="0.25">
      <c r="A435">
        <v>3917</v>
      </c>
      <c r="B435" s="1">
        <v>43818</v>
      </c>
      <c r="C435" t="s">
        <v>60</v>
      </c>
      <c r="D435" t="s">
        <v>18</v>
      </c>
      <c r="E435" t="s">
        <v>28</v>
      </c>
      <c r="F435" t="s">
        <v>20</v>
      </c>
      <c r="G435" t="s">
        <v>61</v>
      </c>
      <c r="H435" t="s">
        <v>38</v>
      </c>
      <c r="I435" t="s">
        <v>23</v>
      </c>
      <c r="J435" t="s">
        <v>24</v>
      </c>
      <c r="K435" t="s">
        <v>46</v>
      </c>
      <c r="L435">
        <v>3</v>
      </c>
      <c r="M435">
        <v>1</v>
      </c>
      <c r="N435">
        <v>4</v>
      </c>
      <c r="O435">
        <v>3</v>
      </c>
      <c r="P435">
        <v>328.89</v>
      </c>
      <c r="Q435">
        <v>26</v>
      </c>
      <c r="S435">
        <f t="shared" si="24"/>
        <v>557.6865165165168</v>
      </c>
      <c r="T435">
        <f t="shared" si="25"/>
        <v>153</v>
      </c>
      <c r="U435">
        <f t="shared" si="26"/>
        <v>1.9139139139139139</v>
      </c>
      <c r="V435">
        <f t="shared" si="27"/>
        <v>557.6865165165168</v>
      </c>
    </row>
    <row r="436" spans="1:22" x14ac:dyDescent="0.25">
      <c r="A436">
        <v>3918</v>
      </c>
      <c r="B436" s="1">
        <v>44098</v>
      </c>
      <c r="C436" t="s">
        <v>43</v>
      </c>
      <c r="D436" t="s">
        <v>18</v>
      </c>
      <c r="E436" t="s">
        <v>19</v>
      </c>
      <c r="F436" t="s">
        <v>27</v>
      </c>
      <c r="G436" t="s">
        <v>61</v>
      </c>
      <c r="H436" t="s">
        <v>41</v>
      </c>
      <c r="I436" t="s">
        <v>23</v>
      </c>
      <c r="J436" t="s">
        <v>24</v>
      </c>
      <c r="K436" t="s">
        <v>25</v>
      </c>
      <c r="L436">
        <v>3</v>
      </c>
      <c r="M436">
        <v>3</v>
      </c>
      <c r="N436">
        <v>5</v>
      </c>
      <c r="O436">
        <v>3</v>
      </c>
      <c r="P436">
        <v>701.83</v>
      </c>
      <c r="Q436">
        <v>60</v>
      </c>
      <c r="S436">
        <f t="shared" si="24"/>
        <v>557.6865165165168</v>
      </c>
      <c r="T436">
        <f t="shared" si="25"/>
        <v>153</v>
      </c>
      <c r="U436">
        <f t="shared" si="26"/>
        <v>1.9139139139139139</v>
      </c>
      <c r="V436">
        <f t="shared" si="27"/>
        <v>557.6865165165168</v>
      </c>
    </row>
    <row r="437" spans="1:22" x14ac:dyDescent="0.25">
      <c r="A437">
        <v>3919</v>
      </c>
      <c r="B437" s="1">
        <v>45113</v>
      </c>
      <c r="C437" t="s">
        <v>49</v>
      </c>
      <c r="D437" t="s">
        <v>18</v>
      </c>
      <c r="E437" t="s">
        <v>19</v>
      </c>
      <c r="F437" t="s">
        <v>20</v>
      </c>
      <c r="G437" t="s">
        <v>61</v>
      </c>
      <c r="H437" t="s">
        <v>41</v>
      </c>
      <c r="I437" t="s">
        <v>23</v>
      </c>
      <c r="J437" t="s">
        <v>24</v>
      </c>
      <c r="K437" t="s">
        <v>25</v>
      </c>
      <c r="L437">
        <v>3</v>
      </c>
      <c r="M437">
        <v>3</v>
      </c>
      <c r="N437">
        <v>2</v>
      </c>
      <c r="O437">
        <v>5</v>
      </c>
      <c r="P437">
        <v>229.03</v>
      </c>
      <c r="Q437">
        <v>79</v>
      </c>
      <c r="S437">
        <f t="shared" si="24"/>
        <v>557.6865165165168</v>
      </c>
      <c r="T437">
        <f t="shared" si="25"/>
        <v>153</v>
      </c>
      <c r="U437">
        <f t="shared" si="26"/>
        <v>1.9139139139139139</v>
      </c>
      <c r="V437">
        <f t="shared" si="27"/>
        <v>557.6865165165168</v>
      </c>
    </row>
    <row r="438" spans="1:22" x14ac:dyDescent="0.25">
      <c r="A438">
        <v>3920</v>
      </c>
      <c r="B438" s="1">
        <v>44297</v>
      </c>
      <c r="C438" t="s">
        <v>31</v>
      </c>
      <c r="D438" t="s">
        <v>18</v>
      </c>
      <c r="E438" t="s">
        <v>32</v>
      </c>
      <c r="F438" t="s">
        <v>27</v>
      </c>
      <c r="G438" t="s">
        <v>61</v>
      </c>
      <c r="H438" t="s">
        <v>41</v>
      </c>
      <c r="I438" t="s">
        <v>23</v>
      </c>
      <c r="J438" t="s">
        <v>24</v>
      </c>
      <c r="K438" t="s">
        <v>25</v>
      </c>
      <c r="L438">
        <v>2</v>
      </c>
      <c r="M438">
        <v>1</v>
      </c>
      <c r="N438">
        <v>4</v>
      </c>
      <c r="O438">
        <v>3</v>
      </c>
      <c r="P438">
        <v>809.39</v>
      </c>
      <c r="Q438">
        <v>60</v>
      </c>
      <c r="S438">
        <f t="shared" si="24"/>
        <v>557.6865165165168</v>
      </c>
      <c r="T438">
        <f t="shared" si="25"/>
        <v>153</v>
      </c>
      <c r="U438">
        <f t="shared" si="26"/>
        <v>1.9139139139139139</v>
      </c>
      <c r="V438">
        <f t="shared" si="27"/>
        <v>557.6865165165168</v>
      </c>
    </row>
    <row r="439" spans="1:22" x14ac:dyDescent="0.25">
      <c r="A439">
        <v>3921</v>
      </c>
      <c r="B439" s="1">
        <v>43873</v>
      </c>
      <c r="C439" t="s">
        <v>40</v>
      </c>
      <c r="D439" t="s">
        <v>18</v>
      </c>
      <c r="E439" t="s">
        <v>19</v>
      </c>
      <c r="F439" t="s">
        <v>27</v>
      </c>
      <c r="G439" t="s">
        <v>61</v>
      </c>
      <c r="H439" t="s">
        <v>56</v>
      </c>
      <c r="I439" t="s">
        <v>23</v>
      </c>
      <c r="J439" t="s">
        <v>24</v>
      </c>
      <c r="K439" t="s">
        <v>25</v>
      </c>
      <c r="L439">
        <v>4</v>
      </c>
      <c r="M439">
        <v>3</v>
      </c>
      <c r="N439">
        <v>2</v>
      </c>
      <c r="O439">
        <v>5</v>
      </c>
      <c r="P439">
        <v>393.54</v>
      </c>
      <c r="Q439">
        <v>77</v>
      </c>
      <c r="S439">
        <f t="shared" si="24"/>
        <v>557.6865165165168</v>
      </c>
      <c r="T439">
        <f t="shared" si="25"/>
        <v>153</v>
      </c>
      <c r="U439">
        <f t="shared" si="26"/>
        <v>1.9139139139139139</v>
      </c>
      <c r="V439">
        <f t="shared" si="27"/>
        <v>557.6865165165168</v>
      </c>
    </row>
    <row r="440" spans="1:22" x14ac:dyDescent="0.25">
      <c r="A440">
        <v>3922</v>
      </c>
      <c r="B440" s="1">
        <v>43459</v>
      </c>
      <c r="C440" t="s">
        <v>17</v>
      </c>
      <c r="D440" t="s">
        <v>18</v>
      </c>
      <c r="E440" t="s">
        <v>28</v>
      </c>
      <c r="F440" t="s">
        <v>27</v>
      </c>
      <c r="G440" t="s">
        <v>61</v>
      </c>
      <c r="H440" t="s">
        <v>38</v>
      </c>
      <c r="I440" t="s">
        <v>23</v>
      </c>
      <c r="J440" t="s">
        <v>24</v>
      </c>
      <c r="K440" t="s">
        <v>25</v>
      </c>
      <c r="L440">
        <v>5</v>
      </c>
      <c r="M440">
        <v>3</v>
      </c>
      <c r="N440">
        <v>1</v>
      </c>
      <c r="O440">
        <v>1</v>
      </c>
      <c r="P440">
        <v>629.74</v>
      </c>
      <c r="Q440">
        <v>22</v>
      </c>
      <c r="S440">
        <f t="shared" si="24"/>
        <v>557.6865165165168</v>
      </c>
      <c r="T440">
        <f t="shared" si="25"/>
        <v>153</v>
      </c>
      <c r="U440">
        <f t="shared" si="26"/>
        <v>1.9139139139139139</v>
      </c>
      <c r="V440">
        <f t="shared" si="27"/>
        <v>557.6865165165168</v>
      </c>
    </row>
    <row r="441" spans="1:22" x14ac:dyDescent="0.25">
      <c r="A441">
        <v>3923</v>
      </c>
      <c r="B441" s="1">
        <v>44555</v>
      </c>
      <c r="C441" t="s">
        <v>43</v>
      </c>
      <c r="D441" t="s">
        <v>18</v>
      </c>
      <c r="E441" t="s">
        <v>32</v>
      </c>
      <c r="F441" t="s">
        <v>20</v>
      </c>
      <c r="G441" t="s">
        <v>61</v>
      </c>
      <c r="H441" t="s">
        <v>29</v>
      </c>
      <c r="I441" t="s">
        <v>23</v>
      </c>
      <c r="J441" t="s">
        <v>24</v>
      </c>
      <c r="K441" t="s">
        <v>46</v>
      </c>
      <c r="L441">
        <v>2</v>
      </c>
      <c r="M441">
        <v>4</v>
      </c>
      <c r="N441">
        <v>3</v>
      </c>
      <c r="O441">
        <v>2</v>
      </c>
      <c r="P441">
        <v>378.39</v>
      </c>
      <c r="Q441">
        <v>66</v>
      </c>
      <c r="S441">
        <f t="shared" si="24"/>
        <v>557.6865165165168</v>
      </c>
      <c r="T441">
        <f t="shared" si="25"/>
        <v>153</v>
      </c>
      <c r="U441">
        <f t="shared" si="26"/>
        <v>1.9139139139139139</v>
      </c>
      <c r="V441">
        <f t="shared" si="27"/>
        <v>557.6865165165168</v>
      </c>
    </row>
    <row r="442" spans="1:22" x14ac:dyDescent="0.25">
      <c r="A442">
        <v>3924</v>
      </c>
      <c r="B442" s="1">
        <v>44338</v>
      </c>
      <c r="C442" t="s">
        <v>49</v>
      </c>
      <c r="D442" t="s">
        <v>18</v>
      </c>
      <c r="E442" t="s">
        <v>32</v>
      </c>
      <c r="F442" t="s">
        <v>33</v>
      </c>
      <c r="G442" t="s">
        <v>61</v>
      </c>
      <c r="H442" t="s">
        <v>38</v>
      </c>
      <c r="I442" t="s">
        <v>42</v>
      </c>
      <c r="J442" t="s">
        <v>30</v>
      </c>
      <c r="K442" t="s">
        <v>25</v>
      </c>
      <c r="L442">
        <v>2</v>
      </c>
      <c r="M442">
        <v>4</v>
      </c>
      <c r="N442">
        <v>5</v>
      </c>
      <c r="O442">
        <v>2</v>
      </c>
      <c r="P442">
        <v>715.98</v>
      </c>
      <c r="Q442">
        <v>28</v>
      </c>
      <c r="S442">
        <f t="shared" si="24"/>
        <v>557.6865165165168</v>
      </c>
      <c r="T442">
        <f t="shared" si="25"/>
        <v>153</v>
      </c>
      <c r="U442">
        <f t="shared" si="26"/>
        <v>1.9139139139139139</v>
      </c>
      <c r="V442">
        <f t="shared" si="27"/>
        <v>557.6865165165168</v>
      </c>
    </row>
    <row r="443" spans="1:22" x14ac:dyDescent="0.25">
      <c r="A443">
        <v>3926</v>
      </c>
      <c r="B443" s="1">
        <v>43523</v>
      </c>
      <c r="C443" t="s">
        <v>40</v>
      </c>
      <c r="D443" t="s">
        <v>18</v>
      </c>
      <c r="E443" t="s">
        <v>32</v>
      </c>
      <c r="F443" t="s">
        <v>20</v>
      </c>
      <c r="G443" t="s">
        <v>61</v>
      </c>
      <c r="H443" t="s">
        <v>69</v>
      </c>
      <c r="I443" t="s">
        <v>23</v>
      </c>
      <c r="J443" t="s">
        <v>24</v>
      </c>
      <c r="K443" t="s">
        <v>64</v>
      </c>
      <c r="L443">
        <v>4</v>
      </c>
      <c r="M443">
        <v>1</v>
      </c>
      <c r="N443">
        <v>4</v>
      </c>
      <c r="O443">
        <v>2</v>
      </c>
      <c r="P443">
        <v>449.35</v>
      </c>
      <c r="Q443">
        <v>78</v>
      </c>
      <c r="S443">
        <f t="shared" si="24"/>
        <v>557.6865165165168</v>
      </c>
      <c r="T443">
        <f t="shared" si="25"/>
        <v>153</v>
      </c>
      <c r="U443">
        <f t="shared" si="26"/>
        <v>1.9139139139139139</v>
      </c>
      <c r="V443">
        <f t="shared" si="27"/>
        <v>557.6865165165168</v>
      </c>
    </row>
    <row r="444" spans="1:22" x14ac:dyDescent="0.25">
      <c r="A444">
        <v>3927</v>
      </c>
      <c r="B444" s="1">
        <v>43891</v>
      </c>
      <c r="C444" t="s">
        <v>52</v>
      </c>
      <c r="D444" t="s">
        <v>18</v>
      </c>
      <c r="E444" t="s">
        <v>19</v>
      </c>
      <c r="F444" t="s">
        <v>20</v>
      </c>
      <c r="G444" t="s">
        <v>76</v>
      </c>
      <c r="H444" t="s">
        <v>29</v>
      </c>
      <c r="I444" t="s">
        <v>23</v>
      </c>
      <c r="J444" t="s">
        <v>30</v>
      </c>
      <c r="K444" t="s">
        <v>25</v>
      </c>
      <c r="L444">
        <v>5</v>
      </c>
      <c r="M444">
        <v>4</v>
      </c>
      <c r="N444">
        <v>1</v>
      </c>
      <c r="O444">
        <v>2</v>
      </c>
      <c r="P444">
        <v>878.67</v>
      </c>
      <c r="Q444">
        <v>38</v>
      </c>
      <c r="S444">
        <f t="shared" si="24"/>
        <v>557.6865165165168</v>
      </c>
      <c r="T444">
        <f t="shared" si="25"/>
        <v>153</v>
      </c>
      <c r="U444">
        <f t="shared" si="26"/>
        <v>1.9139139139139139</v>
      </c>
      <c r="V444">
        <f t="shared" si="27"/>
        <v>557.6865165165168</v>
      </c>
    </row>
    <row r="445" spans="1:22" x14ac:dyDescent="0.25">
      <c r="A445">
        <v>3928</v>
      </c>
      <c r="B445" s="1">
        <v>44223</v>
      </c>
      <c r="C445" t="s">
        <v>37</v>
      </c>
      <c r="D445" t="s">
        <v>18</v>
      </c>
      <c r="E445" t="s">
        <v>32</v>
      </c>
      <c r="F445" t="s">
        <v>27</v>
      </c>
      <c r="G445" t="s">
        <v>61</v>
      </c>
      <c r="H445" t="s">
        <v>38</v>
      </c>
      <c r="I445" t="s">
        <v>23</v>
      </c>
      <c r="J445" t="s">
        <v>30</v>
      </c>
      <c r="K445" t="s">
        <v>25</v>
      </c>
      <c r="L445">
        <v>4</v>
      </c>
      <c r="M445">
        <v>2</v>
      </c>
      <c r="N445">
        <v>1</v>
      </c>
      <c r="O445">
        <v>1</v>
      </c>
      <c r="P445">
        <v>799.99</v>
      </c>
      <c r="Q445">
        <v>65</v>
      </c>
      <c r="S445">
        <f t="shared" si="24"/>
        <v>557.6865165165168</v>
      </c>
      <c r="T445">
        <f t="shared" si="25"/>
        <v>153</v>
      </c>
      <c r="U445">
        <f t="shared" si="26"/>
        <v>1.9139139139139139</v>
      </c>
      <c r="V445">
        <f t="shared" si="27"/>
        <v>557.6865165165168</v>
      </c>
    </row>
    <row r="446" spans="1:22" x14ac:dyDescent="0.25">
      <c r="A446">
        <v>3929</v>
      </c>
      <c r="B446" s="1">
        <v>45095</v>
      </c>
      <c r="C446" t="s">
        <v>43</v>
      </c>
      <c r="D446" t="s">
        <v>18</v>
      </c>
      <c r="E446" t="s">
        <v>19</v>
      </c>
      <c r="F446" t="s">
        <v>20</v>
      </c>
      <c r="G446" t="s">
        <v>61</v>
      </c>
      <c r="H446" t="s">
        <v>67</v>
      </c>
      <c r="I446" t="s">
        <v>23</v>
      </c>
      <c r="J446" t="s">
        <v>24</v>
      </c>
      <c r="K446" t="s">
        <v>25</v>
      </c>
      <c r="L446">
        <v>2</v>
      </c>
      <c r="M446">
        <v>5</v>
      </c>
      <c r="N446">
        <v>2</v>
      </c>
      <c r="O446">
        <v>3</v>
      </c>
      <c r="P446">
        <v>617.52</v>
      </c>
      <c r="Q446">
        <v>46</v>
      </c>
      <c r="S446">
        <f t="shared" si="24"/>
        <v>557.6865165165168</v>
      </c>
      <c r="T446">
        <f t="shared" si="25"/>
        <v>153</v>
      </c>
      <c r="U446">
        <f t="shared" si="26"/>
        <v>1.9139139139139139</v>
      </c>
      <c r="V446">
        <f t="shared" si="27"/>
        <v>557.6865165165168</v>
      </c>
    </row>
    <row r="447" spans="1:22" x14ac:dyDescent="0.25">
      <c r="A447">
        <v>3930</v>
      </c>
      <c r="B447" s="1">
        <v>43793</v>
      </c>
      <c r="C447" t="s">
        <v>40</v>
      </c>
      <c r="D447" t="s">
        <v>18</v>
      </c>
      <c r="E447" t="s">
        <v>19</v>
      </c>
      <c r="F447" t="s">
        <v>27</v>
      </c>
      <c r="G447" t="s">
        <v>61</v>
      </c>
      <c r="H447" t="s">
        <v>38</v>
      </c>
      <c r="I447" t="s">
        <v>23</v>
      </c>
      <c r="J447" t="s">
        <v>24</v>
      </c>
      <c r="K447" t="s">
        <v>25</v>
      </c>
      <c r="L447">
        <v>4</v>
      </c>
      <c r="M447">
        <v>4</v>
      </c>
      <c r="N447">
        <v>4</v>
      </c>
      <c r="O447">
        <v>5</v>
      </c>
      <c r="P447">
        <v>522.86</v>
      </c>
      <c r="Q447">
        <v>35</v>
      </c>
      <c r="S447">
        <f t="shared" si="24"/>
        <v>557.6865165165168</v>
      </c>
      <c r="T447">
        <f t="shared" si="25"/>
        <v>153</v>
      </c>
      <c r="U447">
        <f t="shared" si="26"/>
        <v>1.9139139139139139</v>
      </c>
      <c r="V447">
        <f t="shared" si="27"/>
        <v>557.6865165165168</v>
      </c>
    </row>
    <row r="448" spans="1:22" x14ac:dyDescent="0.25">
      <c r="A448">
        <v>3931</v>
      </c>
      <c r="B448" s="1">
        <v>44463</v>
      </c>
      <c r="C448" t="s">
        <v>17</v>
      </c>
      <c r="D448" t="s">
        <v>18</v>
      </c>
      <c r="E448" t="s">
        <v>28</v>
      </c>
      <c r="F448" t="s">
        <v>27</v>
      </c>
      <c r="G448" t="s">
        <v>61</v>
      </c>
      <c r="H448" t="s">
        <v>47</v>
      </c>
      <c r="I448" t="s">
        <v>23</v>
      </c>
      <c r="J448" t="s">
        <v>30</v>
      </c>
      <c r="K448" t="s">
        <v>25</v>
      </c>
      <c r="L448">
        <v>2</v>
      </c>
      <c r="M448">
        <v>1</v>
      </c>
      <c r="N448">
        <v>5</v>
      </c>
      <c r="O448">
        <v>5</v>
      </c>
      <c r="P448">
        <v>685.82</v>
      </c>
      <c r="Q448">
        <v>61</v>
      </c>
      <c r="S448">
        <f t="shared" si="24"/>
        <v>557.6865165165168</v>
      </c>
      <c r="T448">
        <f t="shared" si="25"/>
        <v>153</v>
      </c>
      <c r="U448">
        <f t="shared" si="26"/>
        <v>1.9139139139139139</v>
      </c>
      <c r="V448">
        <f t="shared" si="27"/>
        <v>557.6865165165168</v>
      </c>
    </row>
    <row r="449" spans="1:22" x14ac:dyDescent="0.25">
      <c r="A449">
        <v>3932</v>
      </c>
      <c r="B449" s="1">
        <v>44790</v>
      </c>
      <c r="C449" t="s">
        <v>26</v>
      </c>
      <c r="D449" t="s">
        <v>18</v>
      </c>
      <c r="E449" t="s">
        <v>19</v>
      </c>
      <c r="F449" t="s">
        <v>33</v>
      </c>
      <c r="G449" t="s">
        <v>61</v>
      </c>
      <c r="H449" t="s">
        <v>44</v>
      </c>
      <c r="I449" t="s">
        <v>23</v>
      </c>
      <c r="J449" t="s">
        <v>24</v>
      </c>
      <c r="K449" t="s">
        <v>25</v>
      </c>
      <c r="L449">
        <v>5</v>
      </c>
      <c r="M449">
        <v>5</v>
      </c>
      <c r="N449">
        <v>4</v>
      </c>
      <c r="O449">
        <v>5</v>
      </c>
      <c r="P449">
        <v>898.93</v>
      </c>
      <c r="Q449">
        <v>57</v>
      </c>
      <c r="S449">
        <f t="shared" si="24"/>
        <v>557.6865165165168</v>
      </c>
      <c r="T449">
        <f t="shared" si="25"/>
        <v>153</v>
      </c>
      <c r="U449">
        <f t="shared" si="26"/>
        <v>1.9139139139139139</v>
      </c>
      <c r="V449">
        <f t="shared" si="27"/>
        <v>557.6865165165168</v>
      </c>
    </row>
    <row r="450" spans="1:22" x14ac:dyDescent="0.25">
      <c r="A450">
        <v>3933</v>
      </c>
      <c r="B450" s="1">
        <v>45034</v>
      </c>
      <c r="C450" t="s">
        <v>54</v>
      </c>
      <c r="D450" t="s">
        <v>18</v>
      </c>
      <c r="E450" t="s">
        <v>19</v>
      </c>
      <c r="F450" t="s">
        <v>27</v>
      </c>
      <c r="G450" t="s">
        <v>61</v>
      </c>
      <c r="H450" t="s">
        <v>47</v>
      </c>
      <c r="I450" t="s">
        <v>23</v>
      </c>
      <c r="J450" t="s">
        <v>24</v>
      </c>
      <c r="K450" t="s">
        <v>25</v>
      </c>
      <c r="L450">
        <v>3</v>
      </c>
      <c r="M450">
        <v>4</v>
      </c>
      <c r="N450">
        <v>5</v>
      </c>
      <c r="O450">
        <v>1</v>
      </c>
      <c r="P450">
        <v>559.54999999999995</v>
      </c>
      <c r="Q450">
        <v>56</v>
      </c>
      <c r="S450">
        <f t="shared" ref="S450:S513" si="28">AVERAGE(P:P)-1</f>
        <v>557.6865165165168</v>
      </c>
      <c r="T450">
        <f t="shared" ref="T450:T513" si="29">COUNTIF(D:D,"Inactive")</f>
        <v>153</v>
      </c>
      <c r="U450">
        <f t="shared" ref="U450:U513" si="30">AVERAGE(L:L)-1</f>
        <v>1.9139139139139139</v>
      </c>
      <c r="V450">
        <f t="shared" ref="V450:V513" si="31">AVERAGE(P:P)-1</f>
        <v>557.6865165165168</v>
      </c>
    </row>
    <row r="451" spans="1:22" x14ac:dyDescent="0.25">
      <c r="A451">
        <v>3934</v>
      </c>
      <c r="B451" s="1">
        <v>43936</v>
      </c>
      <c r="C451" t="s">
        <v>49</v>
      </c>
      <c r="D451" t="s">
        <v>18</v>
      </c>
      <c r="E451" t="s">
        <v>32</v>
      </c>
      <c r="F451" t="s">
        <v>20</v>
      </c>
      <c r="G451" t="s">
        <v>61</v>
      </c>
      <c r="H451" t="s">
        <v>50</v>
      </c>
      <c r="I451" t="s">
        <v>23</v>
      </c>
      <c r="J451" t="s">
        <v>24</v>
      </c>
      <c r="K451" t="s">
        <v>25</v>
      </c>
      <c r="L451">
        <v>3</v>
      </c>
      <c r="M451">
        <v>3</v>
      </c>
      <c r="N451">
        <v>2</v>
      </c>
      <c r="O451">
        <v>5</v>
      </c>
      <c r="P451">
        <v>219.78</v>
      </c>
      <c r="Q451">
        <v>41</v>
      </c>
      <c r="S451">
        <f t="shared" si="28"/>
        <v>557.6865165165168</v>
      </c>
      <c r="T451">
        <f t="shared" si="29"/>
        <v>153</v>
      </c>
      <c r="U451">
        <f t="shared" si="30"/>
        <v>1.9139139139139139</v>
      </c>
      <c r="V451">
        <f t="shared" si="31"/>
        <v>557.6865165165168</v>
      </c>
    </row>
    <row r="452" spans="1:22" x14ac:dyDescent="0.25">
      <c r="A452">
        <v>3935</v>
      </c>
      <c r="B452" s="1">
        <v>44190</v>
      </c>
      <c r="C452" t="s">
        <v>31</v>
      </c>
      <c r="D452" t="s">
        <v>18</v>
      </c>
      <c r="E452" t="s">
        <v>32</v>
      </c>
      <c r="F452" t="s">
        <v>20</v>
      </c>
      <c r="G452" t="s">
        <v>61</v>
      </c>
      <c r="H452" t="s">
        <v>29</v>
      </c>
      <c r="I452" t="s">
        <v>23</v>
      </c>
      <c r="J452" t="s">
        <v>30</v>
      </c>
      <c r="K452" t="s">
        <v>25</v>
      </c>
      <c r="L452">
        <v>5</v>
      </c>
      <c r="M452">
        <v>1</v>
      </c>
      <c r="N452">
        <v>4</v>
      </c>
      <c r="O452">
        <v>5</v>
      </c>
      <c r="P452">
        <v>223.6</v>
      </c>
      <c r="Q452">
        <v>27</v>
      </c>
      <c r="S452">
        <f t="shared" si="28"/>
        <v>557.6865165165168</v>
      </c>
      <c r="T452">
        <f t="shared" si="29"/>
        <v>153</v>
      </c>
      <c r="U452">
        <f t="shared" si="30"/>
        <v>1.9139139139139139</v>
      </c>
      <c r="V452">
        <f t="shared" si="31"/>
        <v>557.6865165165168</v>
      </c>
    </row>
    <row r="453" spans="1:22" x14ac:dyDescent="0.25">
      <c r="A453">
        <v>3936</v>
      </c>
      <c r="B453" s="1">
        <v>44763</v>
      </c>
      <c r="C453" t="s">
        <v>54</v>
      </c>
      <c r="D453" t="s">
        <v>84</v>
      </c>
      <c r="E453" t="s">
        <v>32</v>
      </c>
      <c r="F453" t="s">
        <v>33</v>
      </c>
      <c r="G453" t="s">
        <v>61</v>
      </c>
      <c r="H453" t="s">
        <v>35</v>
      </c>
      <c r="I453" t="s">
        <v>42</v>
      </c>
      <c r="J453" t="s">
        <v>30</v>
      </c>
      <c r="K453" t="s">
        <v>25</v>
      </c>
      <c r="L453">
        <v>5</v>
      </c>
      <c r="M453">
        <v>3</v>
      </c>
      <c r="N453">
        <v>4</v>
      </c>
      <c r="O453">
        <v>4</v>
      </c>
      <c r="P453">
        <v>283.29000000000002</v>
      </c>
      <c r="Q453">
        <v>24</v>
      </c>
      <c r="S453">
        <f t="shared" si="28"/>
        <v>557.6865165165168</v>
      </c>
      <c r="T453">
        <f t="shared" si="29"/>
        <v>153</v>
      </c>
      <c r="U453">
        <f t="shared" si="30"/>
        <v>1.9139139139139139</v>
      </c>
      <c r="V453">
        <f t="shared" si="31"/>
        <v>557.6865165165168</v>
      </c>
    </row>
    <row r="454" spans="1:22" x14ac:dyDescent="0.25">
      <c r="A454">
        <v>3937</v>
      </c>
      <c r="B454" s="1">
        <v>44869</v>
      </c>
      <c r="C454" t="s">
        <v>26</v>
      </c>
      <c r="D454" t="s">
        <v>18</v>
      </c>
      <c r="E454" t="s">
        <v>19</v>
      </c>
      <c r="F454" t="s">
        <v>20</v>
      </c>
      <c r="G454" t="s">
        <v>61</v>
      </c>
      <c r="H454" t="s">
        <v>41</v>
      </c>
      <c r="I454" t="s">
        <v>23</v>
      </c>
      <c r="J454" t="s">
        <v>30</v>
      </c>
      <c r="K454" t="s">
        <v>25</v>
      </c>
      <c r="L454">
        <v>1</v>
      </c>
      <c r="M454">
        <v>3</v>
      </c>
      <c r="N454">
        <v>1</v>
      </c>
      <c r="O454">
        <v>2</v>
      </c>
      <c r="P454">
        <v>935.28</v>
      </c>
      <c r="Q454">
        <v>78</v>
      </c>
      <c r="S454">
        <f t="shared" si="28"/>
        <v>557.6865165165168</v>
      </c>
      <c r="T454">
        <f t="shared" si="29"/>
        <v>153</v>
      </c>
      <c r="U454">
        <f t="shared" si="30"/>
        <v>1.9139139139139139</v>
      </c>
      <c r="V454">
        <f t="shared" si="31"/>
        <v>557.6865165165168</v>
      </c>
    </row>
    <row r="455" spans="1:22" x14ac:dyDescent="0.25">
      <c r="A455">
        <v>3938</v>
      </c>
      <c r="B455" s="1">
        <v>43941</v>
      </c>
      <c r="C455" t="s">
        <v>40</v>
      </c>
      <c r="D455" t="s">
        <v>18</v>
      </c>
      <c r="E455" t="s">
        <v>28</v>
      </c>
      <c r="F455" t="s">
        <v>33</v>
      </c>
      <c r="G455" t="s">
        <v>61</v>
      </c>
      <c r="H455" t="s">
        <v>41</v>
      </c>
      <c r="I455" t="s">
        <v>23</v>
      </c>
      <c r="J455" t="s">
        <v>24</v>
      </c>
      <c r="K455" t="s">
        <v>25</v>
      </c>
      <c r="L455">
        <v>1</v>
      </c>
      <c r="M455">
        <v>1</v>
      </c>
      <c r="N455">
        <v>1</v>
      </c>
      <c r="O455">
        <v>2</v>
      </c>
      <c r="P455">
        <v>892.83</v>
      </c>
      <c r="Q455">
        <v>65</v>
      </c>
      <c r="S455">
        <f t="shared" si="28"/>
        <v>557.6865165165168</v>
      </c>
      <c r="T455">
        <f t="shared" si="29"/>
        <v>153</v>
      </c>
      <c r="U455">
        <f t="shared" si="30"/>
        <v>1.9139139139139139</v>
      </c>
      <c r="V455">
        <f t="shared" si="31"/>
        <v>557.6865165165168</v>
      </c>
    </row>
    <row r="456" spans="1:22" x14ac:dyDescent="0.25">
      <c r="A456">
        <v>3939</v>
      </c>
      <c r="B456" s="1">
        <v>43713</v>
      </c>
      <c r="C456" t="s">
        <v>17</v>
      </c>
      <c r="D456" t="s">
        <v>18</v>
      </c>
      <c r="E456" t="s">
        <v>28</v>
      </c>
      <c r="F456" t="s">
        <v>27</v>
      </c>
      <c r="G456" t="s">
        <v>61</v>
      </c>
      <c r="H456" t="s">
        <v>38</v>
      </c>
      <c r="I456" t="s">
        <v>51</v>
      </c>
      <c r="J456" t="s">
        <v>30</v>
      </c>
      <c r="K456" t="s">
        <v>25</v>
      </c>
      <c r="L456">
        <v>5</v>
      </c>
      <c r="M456">
        <v>2</v>
      </c>
      <c r="N456">
        <v>4</v>
      </c>
      <c r="O456">
        <v>4</v>
      </c>
      <c r="P456">
        <v>318.19</v>
      </c>
      <c r="Q456">
        <v>27</v>
      </c>
      <c r="S456">
        <f t="shared" si="28"/>
        <v>557.6865165165168</v>
      </c>
      <c r="T456">
        <f t="shared" si="29"/>
        <v>153</v>
      </c>
      <c r="U456">
        <f t="shared" si="30"/>
        <v>1.9139139139139139</v>
      </c>
      <c r="V456">
        <f t="shared" si="31"/>
        <v>557.6865165165168</v>
      </c>
    </row>
    <row r="457" spans="1:22" x14ac:dyDescent="0.25">
      <c r="A457">
        <v>3940</v>
      </c>
      <c r="B457" s="1">
        <v>43688</v>
      </c>
      <c r="C457" t="s">
        <v>26</v>
      </c>
      <c r="D457" t="s">
        <v>18</v>
      </c>
      <c r="E457" t="s">
        <v>19</v>
      </c>
      <c r="F457" t="s">
        <v>33</v>
      </c>
      <c r="G457" t="s">
        <v>61</v>
      </c>
      <c r="H457" t="s">
        <v>38</v>
      </c>
      <c r="I457" t="s">
        <v>23</v>
      </c>
      <c r="J457" t="s">
        <v>30</v>
      </c>
      <c r="K457" t="s">
        <v>25</v>
      </c>
      <c r="L457">
        <v>5</v>
      </c>
      <c r="M457">
        <v>4</v>
      </c>
      <c r="N457">
        <v>3</v>
      </c>
      <c r="O457">
        <v>5</v>
      </c>
      <c r="P457">
        <v>305.31</v>
      </c>
      <c r="Q457">
        <v>61</v>
      </c>
      <c r="S457">
        <f t="shared" si="28"/>
        <v>557.6865165165168</v>
      </c>
      <c r="T457">
        <f t="shared" si="29"/>
        <v>153</v>
      </c>
      <c r="U457">
        <f t="shared" si="30"/>
        <v>1.9139139139139139</v>
      </c>
      <c r="V457">
        <f t="shared" si="31"/>
        <v>557.6865165165168</v>
      </c>
    </row>
    <row r="458" spans="1:22" x14ac:dyDescent="0.25">
      <c r="A458">
        <v>3941</v>
      </c>
      <c r="B458" s="1">
        <v>43408</v>
      </c>
      <c r="C458" t="s">
        <v>40</v>
      </c>
      <c r="D458" t="s">
        <v>18</v>
      </c>
      <c r="E458" t="s">
        <v>32</v>
      </c>
      <c r="F458" t="s">
        <v>33</v>
      </c>
      <c r="G458" t="s">
        <v>61</v>
      </c>
      <c r="H458" t="s">
        <v>41</v>
      </c>
      <c r="I458" t="s">
        <v>23</v>
      </c>
      <c r="J458" t="s">
        <v>30</v>
      </c>
      <c r="K458" t="s">
        <v>25</v>
      </c>
      <c r="L458">
        <v>2</v>
      </c>
      <c r="M458">
        <v>3</v>
      </c>
      <c r="N458">
        <v>3</v>
      </c>
      <c r="O458">
        <v>5</v>
      </c>
      <c r="P458">
        <v>756.43</v>
      </c>
      <c r="Q458">
        <v>33</v>
      </c>
      <c r="S458">
        <f t="shared" si="28"/>
        <v>557.6865165165168</v>
      </c>
      <c r="T458">
        <f t="shared" si="29"/>
        <v>153</v>
      </c>
      <c r="U458">
        <f t="shared" si="30"/>
        <v>1.9139139139139139</v>
      </c>
      <c r="V458">
        <f t="shared" si="31"/>
        <v>557.6865165165168</v>
      </c>
    </row>
    <row r="459" spans="1:22" x14ac:dyDescent="0.25">
      <c r="A459">
        <v>3942</v>
      </c>
      <c r="B459" s="1">
        <v>43408</v>
      </c>
      <c r="C459" t="s">
        <v>60</v>
      </c>
      <c r="D459" t="s">
        <v>84</v>
      </c>
      <c r="E459" t="s">
        <v>19</v>
      </c>
      <c r="F459" t="s">
        <v>33</v>
      </c>
      <c r="G459" t="s">
        <v>61</v>
      </c>
      <c r="H459" t="s">
        <v>68</v>
      </c>
      <c r="I459" t="s">
        <v>23</v>
      </c>
      <c r="J459" t="s">
        <v>24</v>
      </c>
      <c r="K459" t="s">
        <v>72</v>
      </c>
      <c r="L459">
        <v>3</v>
      </c>
      <c r="M459">
        <v>4</v>
      </c>
      <c r="N459">
        <v>1</v>
      </c>
      <c r="O459">
        <v>5</v>
      </c>
      <c r="P459">
        <v>940.22</v>
      </c>
      <c r="Q459">
        <v>67</v>
      </c>
      <c r="S459">
        <f t="shared" si="28"/>
        <v>557.6865165165168</v>
      </c>
      <c r="T459">
        <f t="shared" si="29"/>
        <v>153</v>
      </c>
      <c r="U459">
        <f t="shared" si="30"/>
        <v>1.9139139139139139</v>
      </c>
      <c r="V459">
        <f t="shared" si="31"/>
        <v>557.6865165165168</v>
      </c>
    </row>
    <row r="460" spans="1:22" x14ac:dyDescent="0.25">
      <c r="A460">
        <v>3943</v>
      </c>
      <c r="B460" s="1">
        <v>43673</v>
      </c>
      <c r="C460" t="s">
        <v>49</v>
      </c>
      <c r="D460" t="s">
        <v>84</v>
      </c>
      <c r="E460" t="s">
        <v>28</v>
      </c>
      <c r="F460" t="s">
        <v>27</v>
      </c>
      <c r="G460" t="s">
        <v>61</v>
      </c>
      <c r="H460" t="s">
        <v>44</v>
      </c>
      <c r="I460" t="s">
        <v>23</v>
      </c>
      <c r="J460" t="s">
        <v>30</v>
      </c>
      <c r="K460" t="s">
        <v>25</v>
      </c>
      <c r="L460">
        <v>5</v>
      </c>
      <c r="M460">
        <v>2</v>
      </c>
      <c r="N460">
        <v>2</v>
      </c>
      <c r="O460">
        <v>3</v>
      </c>
      <c r="P460">
        <v>282.37</v>
      </c>
      <c r="Q460">
        <v>48</v>
      </c>
      <c r="S460">
        <f t="shared" si="28"/>
        <v>557.6865165165168</v>
      </c>
      <c r="T460">
        <f t="shared" si="29"/>
        <v>153</v>
      </c>
      <c r="U460">
        <f t="shared" si="30"/>
        <v>1.9139139139139139</v>
      </c>
      <c r="V460">
        <f t="shared" si="31"/>
        <v>557.6865165165168</v>
      </c>
    </row>
    <row r="461" spans="1:22" x14ac:dyDescent="0.25">
      <c r="A461">
        <v>3944</v>
      </c>
      <c r="B461" s="1">
        <v>44186</v>
      </c>
      <c r="C461" t="s">
        <v>52</v>
      </c>
      <c r="D461" t="s">
        <v>18</v>
      </c>
      <c r="E461" t="s">
        <v>32</v>
      </c>
      <c r="F461" t="s">
        <v>27</v>
      </c>
      <c r="G461" t="s">
        <v>61</v>
      </c>
      <c r="H461" t="s">
        <v>35</v>
      </c>
      <c r="I461" t="s">
        <v>23</v>
      </c>
      <c r="J461" t="s">
        <v>24</v>
      </c>
      <c r="K461" t="s">
        <v>25</v>
      </c>
      <c r="L461">
        <v>5</v>
      </c>
      <c r="M461">
        <v>3</v>
      </c>
      <c r="N461">
        <v>4</v>
      </c>
      <c r="O461">
        <v>1</v>
      </c>
      <c r="P461">
        <v>627.14</v>
      </c>
      <c r="Q461">
        <v>23</v>
      </c>
      <c r="S461">
        <f t="shared" si="28"/>
        <v>557.6865165165168</v>
      </c>
      <c r="T461">
        <f t="shared" si="29"/>
        <v>153</v>
      </c>
      <c r="U461">
        <f t="shared" si="30"/>
        <v>1.9139139139139139</v>
      </c>
      <c r="V461">
        <f t="shared" si="31"/>
        <v>557.6865165165168</v>
      </c>
    </row>
    <row r="462" spans="1:22" x14ac:dyDescent="0.25">
      <c r="A462">
        <v>3945</v>
      </c>
      <c r="B462" s="1">
        <v>44767</v>
      </c>
      <c r="C462" t="s">
        <v>54</v>
      </c>
      <c r="D462" t="s">
        <v>18</v>
      </c>
      <c r="E462" t="s">
        <v>32</v>
      </c>
      <c r="F462" t="s">
        <v>20</v>
      </c>
      <c r="G462" t="s">
        <v>61</v>
      </c>
      <c r="H462" t="s">
        <v>47</v>
      </c>
      <c r="I462" t="s">
        <v>23</v>
      </c>
      <c r="J462" t="s">
        <v>24</v>
      </c>
      <c r="K462" t="s">
        <v>72</v>
      </c>
      <c r="L462">
        <v>4</v>
      </c>
      <c r="M462">
        <v>4</v>
      </c>
      <c r="N462">
        <v>2</v>
      </c>
      <c r="O462">
        <v>2</v>
      </c>
      <c r="P462">
        <v>864.5</v>
      </c>
      <c r="Q462">
        <v>24</v>
      </c>
      <c r="S462">
        <f t="shared" si="28"/>
        <v>557.6865165165168</v>
      </c>
      <c r="T462">
        <f t="shared" si="29"/>
        <v>153</v>
      </c>
      <c r="U462">
        <f t="shared" si="30"/>
        <v>1.9139139139139139</v>
      </c>
      <c r="V462">
        <f t="shared" si="31"/>
        <v>557.6865165165168</v>
      </c>
    </row>
    <row r="463" spans="1:22" x14ac:dyDescent="0.25">
      <c r="A463">
        <v>3946</v>
      </c>
      <c r="B463" s="1">
        <v>43631</v>
      </c>
      <c r="C463" t="s">
        <v>49</v>
      </c>
      <c r="D463" t="s">
        <v>18</v>
      </c>
      <c r="E463" t="s">
        <v>19</v>
      </c>
      <c r="F463" t="s">
        <v>27</v>
      </c>
      <c r="G463" t="s">
        <v>61</v>
      </c>
      <c r="H463" t="s">
        <v>66</v>
      </c>
      <c r="I463" t="s">
        <v>23</v>
      </c>
      <c r="J463" t="s">
        <v>24</v>
      </c>
      <c r="K463" t="s">
        <v>25</v>
      </c>
      <c r="L463">
        <v>1</v>
      </c>
      <c r="M463">
        <v>3</v>
      </c>
      <c r="N463">
        <v>4</v>
      </c>
      <c r="O463">
        <v>4</v>
      </c>
      <c r="P463">
        <v>981.64</v>
      </c>
      <c r="Q463">
        <v>62</v>
      </c>
      <c r="S463">
        <f t="shared" si="28"/>
        <v>557.6865165165168</v>
      </c>
      <c r="T463">
        <f t="shared" si="29"/>
        <v>153</v>
      </c>
      <c r="U463">
        <f t="shared" si="30"/>
        <v>1.9139139139139139</v>
      </c>
      <c r="V463">
        <f t="shared" si="31"/>
        <v>557.6865165165168</v>
      </c>
    </row>
    <row r="464" spans="1:22" x14ac:dyDescent="0.25">
      <c r="A464">
        <v>3947</v>
      </c>
      <c r="B464" s="1">
        <v>43925</v>
      </c>
      <c r="C464" t="s">
        <v>26</v>
      </c>
      <c r="D464" t="s">
        <v>84</v>
      </c>
      <c r="E464" t="s">
        <v>32</v>
      </c>
      <c r="F464" t="s">
        <v>33</v>
      </c>
      <c r="G464" t="s">
        <v>61</v>
      </c>
      <c r="H464" t="s">
        <v>41</v>
      </c>
      <c r="I464" t="s">
        <v>23</v>
      </c>
      <c r="J464" t="s">
        <v>24</v>
      </c>
      <c r="K464" t="s">
        <v>25</v>
      </c>
      <c r="L464">
        <v>4</v>
      </c>
      <c r="M464">
        <v>3</v>
      </c>
      <c r="N464">
        <v>1</v>
      </c>
      <c r="O464">
        <v>3</v>
      </c>
      <c r="P464">
        <v>456.02</v>
      </c>
      <c r="Q464">
        <v>24</v>
      </c>
      <c r="S464">
        <f t="shared" si="28"/>
        <v>557.6865165165168</v>
      </c>
      <c r="T464">
        <f t="shared" si="29"/>
        <v>153</v>
      </c>
      <c r="U464">
        <f t="shared" si="30"/>
        <v>1.9139139139139139</v>
      </c>
      <c r="V464">
        <f t="shared" si="31"/>
        <v>557.6865165165168</v>
      </c>
    </row>
    <row r="465" spans="1:22" x14ac:dyDescent="0.25">
      <c r="A465">
        <v>3948</v>
      </c>
      <c r="B465" s="1">
        <v>44960</v>
      </c>
      <c r="C465" t="s">
        <v>54</v>
      </c>
      <c r="D465" t="s">
        <v>84</v>
      </c>
      <c r="E465" t="s">
        <v>19</v>
      </c>
      <c r="F465" t="s">
        <v>20</v>
      </c>
      <c r="G465" t="s">
        <v>61</v>
      </c>
      <c r="H465" t="s">
        <v>29</v>
      </c>
      <c r="I465" t="s">
        <v>23</v>
      </c>
      <c r="J465" t="s">
        <v>30</v>
      </c>
      <c r="K465" t="s">
        <v>25</v>
      </c>
      <c r="L465">
        <v>4</v>
      </c>
      <c r="M465">
        <v>4</v>
      </c>
      <c r="N465">
        <v>2</v>
      </c>
      <c r="O465">
        <v>5</v>
      </c>
      <c r="P465">
        <v>350.68</v>
      </c>
      <c r="Q465">
        <v>80</v>
      </c>
      <c r="S465">
        <f t="shared" si="28"/>
        <v>557.6865165165168</v>
      </c>
      <c r="T465">
        <f t="shared" si="29"/>
        <v>153</v>
      </c>
      <c r="U465">
        <f t="shared" si="30"/>
        <v>1.9139139139139139</v>
      </c>
      <c r="V465">
        <f t="shared" si="31"/>
        <v>557.6865165165168</v>
      </c>
    </row>
    <row r="466" spans="1:22" x14ac:dyDescent="0.25">
      <c r="A466">
        <v>3950</v>
      </c>
      <c r="B466" s="1">
        <v>45119</v>
      </c>
      <c r="C466" t="s">
        <v>17</v>
      </c>
      <c r="D466" t="s">
        <v>18</v>
      </c>
      <c r="E466" t="s">
        <v>32</v>
      </c>
      <c r="F466" t="s">
        <v>27</v>
      </c>
      <c r="G466" t="s">
        <v>61</v>
      </c>
      <c r="H466" t="s">
        <v>63</v>
      </c>
      <c r="I466" t="s">
        <v>23</v>
      </c>
      <c r="J466" t="s">
        <v>24</v>
      </c>
      <c r="K466" t="s">
        <v>25</v>
      </c>
      <c r="L466">
        <v>2</v>
      </c>
      <c r="M466">
        <v>3</v>
      </c>
      <c r="N466">
        <v>5</v>
      </c>
      <c r="O466">
        <v>2</v>
      </c>
      <c r="P466">
        <v>119.24</v>
      </c>
      <c r="Q466">
        <v>34</v>
      </c>
      <c r="S466">
        <f t="shared" si="28"/>
        <v>557.6865165165168</v>
      </c>
      <c r="T466">
        <f t="shared" si="29"/>
        <v>153</v>
      </c>
      <c r="U466">
        <f t="shared" si="30"/>
        <v>1.9139139139139139</v>
      </c>
      <c r="V466">
        <f t="shared" si="31"/>
        <v>557.6865165165168</v>
      </c>
    </row>
    <row r="467" spans="1:22" x14ac:dyDescent="0.25">
      <c r="A467">
        <v>3951</v>
      </c>
      <c r="B467" s="1">
        <v>44311</v>
      </c>
      <c r="C467" t="s">
        <v>54</v>
      </c>
      <c r="D467" t="s">
        <v>84</v>
      </c>
      <c r="E467" t="s">
        <v>19</v>
      </c>
      <c r="F467" t="s">
        <v>27</v>
      </c>
      <c r="G467" t="s">
        <v>61</v>
      </c>
      <c r="H467" t="s">
        <v>67</v>
      </c>
      <c r="I467" t="s">
        <v>23</v>
      </c>
      <c r="J467" t="s">
        <v>24</v>
      </c>
      <c r="K467" t="s">
        <v>25</v>
      </c>
      <c r="L467">
        <v>4</v>
      </c>
      <c r="M467">
        <v>1</v>
      </c>
      <c r="N467">
        <v>3</v>
      </c>
      <c r="O467">
        <v>5</v>
      </c>
      <c r="P467">
        <v>532.41</v>
      </c>
      <c r="Q467">
        <v>60</v>
      </c>
      <c r="S467">
        <f t="shared" si="28"/>
        <v>557.6865165165168</v>
      </c>
      <c r="T467">
        <f t="shared" si="29"/>
        <v>153</v>
      </c>
      <c r="U467">
        <f t="shared" si="30"/>
        <v>1.9139139139139139</v>
      </c>
      <c r="V467">
        <f t="shared" si="31"/>
        <v>557.6865165165168</v>
      </c>
    </row>
    <row r="468" spans="1:22" x14ac:dyDescent="0.25">
      <c r="A468">
        <v>3952</v>
      </c>
      <c r="B468" s="1">
        <v>44268</v>
      </c>
      <c r="C468" t="s">
        <v>26</v>
      </c>
      <c r="D468" t="s">
        <v>18</v>
      </c>
      <c r="E468" t="s">
        <v>32</v>
      </c>
      <c r="F468" t="s">
        <v>27</v>
      </c>
      <c r="G468" t="s">
        <v>61</v>
      </c>
      <c r="H468" t="s">
        <v>22</v>
      </c>
      <c r="I468" t="s">
        <v>23</v>
      </c>
      <c r="J468" t="s">
        <v>30</v>
      </c>
      <c r="K468" t="s">
        <v>25</v>
      </c>
      <c r="L468">
        <v>1</v>
      </c>
      <c r="M468">
        <v>4</v>
      </c>
      <c r="N468">
        <v>1</v>
      </c>
      <c r="O468">
        <v>5</v>
      </c>
      <c r="P468">
        <v>625.95000000000005</v>
      </c>
      <c r="Q468">
        <v>71</v>
      </c>
      <c r="S468">
        <f t="shared" si="28"/>
        <v>557.6865165165168</v>
      </c>
      <c r="T468">
        <f t="shared" si="29"/>
        <v>153</v>
      </c>
      <c r="U468">
        <f t="shared" si="30"/>
        <v>1.9139139139139139</v>
      </c>
      <c r="V468">
        <f t="shared" si="31"/>
        <v>557.6865165165168</v>
      </c>
    </row>
    <row r="469" spans="1:22" x14ac:dyDescent="0.25">
      <c r="A469">
        <v>3953</v>
      </c>
      <c r="B469" s="1">
        <v>44424</v>
      </c>
      <c r="C469" t="s">
        <v>40</v>
      </c>
      <c r="D469" t="s">
        <v>18</v>
      </c>
      <c r="E469" t="s">
        <v>32</v>
      </c>
      <c r="F469" t="s">
        <v>33</v>
      </c>
      <c r="G469" t="s">
        <v>61</v>
      </c>
      <c r="H469" t="s">
        <v>44</v>
      </c>
      <c r="I469" t="s">
        <v>23</v>
      </c>
      <c r="J469" t="s">
        <v>24</v>
      </c>
      <c r="K469" t="s">
        <v>25</v>
      </c>
      <c r="L469">
        <v>3</v>
      </c>
      <c r="M469">
        <v>4</v>
      </c>
      <c r="N469">
        <v>4</v>
      </c>
      <c r="O469">
        <v>2</v>
      </c>
      <c r="P469">
        <v>779.08</v>
      </c>
      <c r="Q469">
        <v>56</v>
      </c>
      <c r="S469">
        <f t="shared" si="28"/>
        <v>557.6865165165168</v>
      </c>
      <c r="T469">
        <f t="shared" si="29"/>
        <v>153</v>
      </c>
      <c r="U469">
        <f t="shared" si="30"/>
        <v>1.9139139139139139</v>
      </c>
      <c r="V469">
        <f t="shared" si="31"/>
        <v>557.6865165165168</v>
      </c>
    </row>
    <row r="470" spans="1:22" x14ac:dyDescent="0.25">
      <c r="A470">
        <v>3954</v>
      </c>
      <c r="B470" s="1">
        <v>44487</v>
      </c>
      <c r="C470" t="s">
        <v>17</v>
      </c>
      <c r="D470" t="s">
        <v>18</v>
      </c>
      <c r="E470" t="s">
        <v>32</v>
      </c>
      <c r="F470" t="s">
        <v>33</v>
      </c>
      <c r="G470" t="s">
        <v>61</v>
      </c>
      <c r="H470" t="s">
        <v>38</v>
      </c>
      <c r="I470" t="s">
        <v>23</v>
      </c>
      <c r="J470" t="s">
        <v>24</v>
      </c>
      <c r="K470" t="s">
        <v>25</v>
      </c>
      <c r="L470">
        <v>5</v>
      </c>
      <c r="M470">
        <v>1</v>
      </c>
      <c r="N470">
        <v>5</v>
      </c>
      <c r="O470">
        <v>1</v>
      </c>
      <c r="P470">
        <v>497.09</v>
      </c>
      <c r="Q470">
        <v>75</v>
      </c>
      <c r="S470">
        <f t="shared" si="28"/>
        <v>557.6865165165168</v>
      </c>
      <c r="T470">
        <f t="shared" si="29"/>
        <v>153</v>
      </c>
      <c r="U470">
        <f t="shared" si="30"/>
        <v>1.9139139139139139</v>
      </c>
      <c r="V470">
        <f t="shared" si="31"/>
        <v>557.6865165165168</v>
      </c>
    </row>
    <row r="471" spans="1:22" x14ac:dyDescent="0.25">
      <c r="A471">
        <v>3955</v>
      </c>
      <c r="B471" s="1">
        <v>43877</v>
      </c>
      <c r="C471" t="s">
        <v>52</v>
      </c>
      <c r="D471" t="s">
        <v>18</v>
      </c>
      <c r="E471" t="s">
        <v>19</v>
      </c>
      <c r="F471" t="s">
        <v>20</v>
      </c>
      <c r="G471" t="s">
        <v>61</v>
      </c>
      <c r="H471" t="s">
        <v>62</v>
      </c>
      <c r="I471" t="s">
        <v>23</v>
      </c>
      <c r="J471" t="s">
        <v>24</v>
      </c>
      <c r="K471" t="s">
        <v>25</v>
      </c>
      <c r="L471">
        <v>2</v>
      </c>
      <c r="M471">
        <v>1</v>
      </c>
      <c r="N471">
        <v>1</v>
      </c>
      <c r="O471">
        <v>1</v>
      </c>
      <c r="P471">
        <v>762.36</v>
      </c>
      <c r="Q471">
        <v>22</v>
      </c>
      <c r="S471">
        <f t="shared" si="28"/>
        <v>557.6865165165168</v>
      </c>
      <c r="T471">
        <f t="shared" si="29"/>
        <v>153</v>
      </c>
      <c r="U471">
        <f t="shared" si="30"/>
        <v>1.9139139139139139</v>
      </c>
      <c r="V471">
        <f t="shared" si="31"/>
        <v>557.6865165165168</v>
      </c>
    </row>
    <row r="472" spans="1:22" x14ac:dyDescent="0.25">
      <c r="A472">
        <v>3956</v>
      </c>
      <c r="B472" s="1">
        <v>43684</v>
      </c>
      <c r="C472" t="s">
        <v>26</v>
      </c>
      <c r="D472" t="s">
        <v>18</v>
      </c>
      <c r="E472" t="s">
        <v>19</v>
      </c>
      <c r="F472" t="s">
        <v>27</v>
      </c>
      <c r="G472" t="s">
        <v>61</v>
      </c>
      <c r="H472" t="s">
        <v>35</v>
      </c>
      <c r="I472" t="s">
        <v>51</v>
      </c>
      <c r="J472" t="s">
        <v>24</v>
      </c>
      <c r="K472" t="s">
        <v>25</v>
      </c>
      <c r="L472">
        <v>4</v>
      </c>
      <c r="M472">
        <v>5</v>
      </c>
      <c r="N472">
        <v>2</v>
      </c>
      <c r="O472">
        <v>4</v>
      </c>
      <c r="P472">
        <v>611.15</v>
      </c>
      <c r="Q472">
        <v>22</v>
      </c>
      <c r="S472">
        <f t="shared" si="28"/>
        <v>557.6865165165168</v>
      </c>
      <c r="T472">
        <f t="shared" si="29"/>
        <v>153</v>
      </c>
      <c r="U472">
        <f t="shared" si="30"/>
        <v>1.9139139139139139</v>
      </c>
      <c r="V472">
        <f t="shared" si="31"/>
        <v>557.6865165165168</v>
      </c>
    </row>
    <row r="473" spans="1:22" x14ac:dyDescent="0.25">
      <c r="A473">
        <v>3957</v>
      </c>
      <c r="B473" s="1">
        <v>44564</v>
      </c>
      <c r="C473" t="s">
        <v>54</v>
      </c>
      <c r="D473" t="s">
        <v>18</v>
      </c>
      <c r="E473" t="s">
        <v>19</v>
      </c>
      <c r="F473" t="s">
        <v>20</v>
      </c>
      <c r="G473" t="s">
        <v>61</v>
      </c>
      <c r="H473" t="s">
        <v>41</v>
      </c>
      <c r="I473" t="s">
        <v>51</v>
      </c>
      <c r="J473" t="s">
        <v>24</v>
      </c>
      <c r="K473" t="s">
        <v>25</v>
      </c>
      <c r="L473">
        <v>3</v>
      </c>
      <c r="M473">
        <v>2</v>
      </c>
      <c r="N473">
        <v>4</v>
      </c>
      <c r="O473">
        <v>3</v>
      </c>
      <c r="P473">
        <v>724.95</v>
      </c>
      <c r="Q473">
        <v>31</v>
      </c>
      <c r="S473">
        <f t="shared" si="28"/>
        <v>557.6865165165168</v>
      </c>
      <c r="T473">
        <f t="shared" si="29"/>
        <v>153</v>
      </c>
      <c r="U473">
        <f t="shared" si="30"/>
        <v>1.9139139139139139</v>
      </c>
      <c r="V473">
        <f t="shared" si="31"/>
        <v>557.6865165165168</v>
      </c>
    </row>
    <row r="474" spans="1:22" x14ac:dyDescent="0.25">
      <c r="A474">
        <v>3958</v>
      </c>
      <c r="B474" s="1">
        <v>44096</v>
      </c>
      <c r="C474" t="s">
        <v>37</v>
      </c>
      <c r="D474" t="s">
        <v>18</v>
      </c>
      <c r="E474" t="s">
        <v>28</v>
      </c>
      <c r="F474" t="s">
        <v>20</v>
      </c>
      <c r="G474" t="s">
        <v>61</v>
      </c>
      <c r="H474" t="s">
        <v>41</v>
      </c>
      <c r="I474" t="s">
        <v>51</v>
      </c>
      <c r="J474" t="s">
        <v>24</v>
      </c>
      <c r="K474" t="s">
        <v>72</v>
      </c>
      <c r="L474">
        <v>5</v>
      </c>
      <c r="M474">
        <v>3</v>
      </c>
      <c r="N474">
        <v>1</v>
      </c>
      <c r="O474">
        <v>5</v>
      </c>
      <c r="P474">
        <v>332.9</v>
      </c>
      <c r="Q474">
        <v>46</v>
      </c>
      <c r="S474">
        <f t="shared" si="28"/>
        <v>557.6865165165168</v>
      </c>
      <c r="T474">
        <f t="shared" si="29"/>
        <v>153</v>
      </c>
      <c r="U474">
        <f t="shared" si="30"/>
        <v>1.9139139139139139</v>
      </c>
      <c r="V474">
        <f t="shared" si="31"/>
        <v>557.6865165165168</v>
      </c>
    </row>
    <row r="475" spans="1:22" x14ac:dyDescent="0.25">
      <c r="A475">
        <v>3959</v>
      </c>
      <c r="B475" s="1">
        <v>44876</v>
      </c>
      <c r="C475" t="s">
        <v>60</v>
      </c>
      <c r="D475" t="s">
        <v>84</v>
      </c>
      <c r="E475" t="s">
        <v>28</v>
      </c>
      <c r="F475" t="s">
        <v>27</v>
      </c>
      <c r="G475" t="s">
        <v>61</v>
      </c>
      <c r="H475" t="s">
        <v>38</v>
      </c>
      <c r="I475" t="s">
        <v>51</v>
      </c>
      <c r="J475" t="s">
        <v>30</v>
      </c>
      <c r="K475" t="s">
        <v>25</v>
      </c>
      <c r="L475">
        <v>5</v>
      </c>
      <c r="M475">
        <v>4</v>
      </c>
      <c r="N475">
        <v>5</v>
      </c>
      <c r="O475">
        <v>5</v>
      </c>
      <c r="P475">
        <v>116.9</v>
      </c>
      <c r="Q475">
        <v>34</v>
      </c>
      <c r="S475">
        <f t="shared" si="28"/>
        <v>557.6865165165168</v>
      </c>
      <c r="T475">
        <f t="shared" si="29"/>
        <v>153</v>
      </c>
      <c r="U475">
        <f t="shared" si="30"/>
        <v>1.9139139139139139</v>
      </c>
      <c r="V475">
        <f t="shared" si="31"/>
        <v>557.6865165165168</v>
      </c>
    </row>
    <row r="476" spans="1:22" x14ac:dyDescent="0.25">
      <c r="A476">
        <v>3960</v>
      </c>
      <c r="B476" s="1">
        <v>43323</v>
      </c>
      <c r="C476" t="s">
        <v>43</v>
      </c>
      <c r="D476" t="s">
        <v>18</v>
      </c>
      <c r="E476" t="s">
        <v>28</v>
      </c>
      <c r="F476" t="s">
        <v>27</v>
      </c>
      <c r="G476" t="s">
        <v>61</v>
      </c>
      <c r="H476" t="s">
        <v>41</v>
      </c>
      <c r="I476" t="s">
        <v>51</v>
      </c>
      <c r="J476" t="s">
        <v>30</v>
      </c>
      <c r="K476" t="s">
        <v>25</v>
      </c>
      <c r="L476">
        <v>3</v>
      </c>
      <c r="M476">
        <v>4</v>
      </c>
      <c r="N476">
        <v>1</v>
      </c>
      <c r="O476">
        <v>1</v>
      </c>
      <c r="P476">
        <v>430.46</v>
      </c>
      <c r="Q476">
        <v>71</v>
      </c>
      <c r="S476">
        <f t="shared" si="28"/>
        <v>557.6865165165168</v>
      </c>
      <c r="T476">
        <f t="shared" si="29"/>
        <v>153</v>
      </c>
      <c r="U476">
        <f t="shared" si="30"/>
        <v>1.9139139139139139</v>
      </c>
      <c r="V476">
        <f t="shared" si="31"/>
        <v>557.6865165165168</v>
      </c>
    </row>
    <row r="477" spans="1:22" x14ac:dyDescent="0.25">
      <c r="A477">
        <v>3961</v>
      </c>
      <c r="B477" s="1">
        <v>45016</v>
      </c>
      <c r="C477" t="s">
        <v>49</v>
      </c>
      <c r="D477" t="s">
        <v>18</v>
      </c>
      <c r="E477" t="s">
        <v>32</v>
      </c>
      <c r="F477" t="s">
        <v>27</v>
      </c>
      <c r="G477" t="s">
        <v>61</v>
      </c>
      <c r="H477" t="s">
        <v>29</v>
      </c>
      <c r="I477" t="s">
        <v>23</v>
      </c>
      <c r="J477" t="s">
        <v>30</v>
      </c>
      <c r="K477" t="s">
        <v>25</v>
      </c>
      <c r="L477">
        <v>2</v>
      </c>
      <c r="M477">
        <v>5</v>
      </c>
      <c r="N477">
        <v>2</v>
      </c>
      <c r="O477">
        <v>5</v>
      </c>
      <c r="P477">
        <v>881.61</v>
      </c>
      <c r="Q477">
        <v>45</v>
      </c>
      <c r="S477">
        <f t="shared" si="28"/>
        <v>557.6865165165168</v>
      </c>
      <c r="T477">
        <f t="shared" si="29"/>
        <v>153</v>
      </c>
      <c r="U477">
        <f t="shared" si="30"/>
        <v>1.9139139139139139</v>
      </c>
      <c r="V477">
        <f t="shared" si="31"/>
        <v>557.6865165165168</v>
      </c>
    </row>
    <row r="478" spans="1:22" x14ac:dyDescent="0.25">
      <c r="A478">
        <v>3962</v>
      </c>
      <c r="B478" s="1">
        <v>44265</v>
      </c>
      <c r="C478" t="s">
        <v>54</v>
      </c>
      <c r="D478" t="s">
        <v>18</v>
      </c>
      <c r="E478" t="s">
        <v>19</v>
      </c>
      <c r="F478" t="s">
        <v>33</v>
      </c>
      <c r="G478" t="s">
        <v>61</v>
      </c>
      <c r="H478" t="s">
        <v>29</v>
      </c>
      <c r="I478" t="s">
        <v>23</v>
      </c>
      <c r="J478" t="s">
        <v>24</v>
      </c>
      <c r="K478" t="s">
        <v>25</v>
      </c>
      <c r="L478">
        <v>4</v>
      </c>
      <c r="M478">
        <v>3</v>
      </c>
      <c r="N478">
        <v>3</v>
      </c>
      <c r="O478">
        <v>3</v>
      </c>
      <c r="P478">
        <v>454.92</v>
      </c>
      <c r="Q478">
        <v>31</v>
      </c>
      <c r="S478">
        <f t="shared" si="28"/>
        <v>557.6865165165168</v>
      </c>
      <c r="T478">
        <f t="shared" si="29"/>
        <v>153</v>
      </c>
      <c r="U478">
        <f t="shared" si="30"/>
        <v>1.9139139139139139</v>
      </c>
      <c r="V478">
        <f t="shared" si="31"/>
        <v>557.6865165165168</v>
      </c>
    </row>
    <row r="479" spans="1:22" x14ac:dyDescent="0.25">
      <c r="A479">
        <v>3963</v>
      </c>
      <c r="B479" s="1">
        <v>43707</v>
      </c>
      <c r="C479" t="s">
        <v>37</v>
      </c>
      <c r="D479" t="s">
        <v>18</v>
      </c>
      <c r="E479" t="s">
        <v>28</v>
      </c>
      <c r="F479" t="s">
        <v>33</v>
      </c>
      <c r="G479" t="s">
        <v>61</v>
      </c>
      <c r="H479" t="s">
        <v>41</v>
      </c>
      <c r="I479" t="s">
        <v>23</v>
      </c>
      <c r="J479" t="s">
        <v>24</v>
      </c>
      <c r="K479" t="s">
        <v>25</v>
      </c>
      <c r="L479">
        <v>4</v>
      </c>
      <c r="M479">
        <v>1</v>
      </c>
      <c r="N479">
        <v>5</v>
      </c>
      <c r="O479">
        <v>2</v>
      </c>
      <c r="P479">
        <v>381.88</v>
      </c>
      <c r="Q479">
        <v>21</v>
      </c>
      <c r="S479">
        <f t="shared" si="28"/>
        <v>557.6865165165168</v>
      </c>
      <c r="T479">
        <f t="shared" si="29"/>
        <v>153</v>
      </c>
      <c r="U479">
        <f t="shared" si="30"/>
        <v>1.9139139139139139</v>
      </c>
      <c r="V479">
        <f t="shared" si="31"/>
        <v>557.6865165165168</v>
      </c>
    </row>
    <row r="480" spans="1:22" x14ac:dyDescent="0.25">
      <c r="A480">
        <v>3965</v>
      </c>
      <c r="B480" s="1">
        <v>43943</v>
      </c>
      <c r="C480" t="s">
        <v>43</v>
      </c>
      <c r="D480" t="s">
        <v>18</v>
      </c>
      <c r="E480" t="s">
        <v>19</v>
      </c>
      <c r="F480" t="s">
        <v>33</v>
      </c>
      <c r="G480" t="s">
        <v>61</v>
      </c>
      <c r="H480" t="s">
        <v>38</v>
      </c>
      <c r="I480" t="s">
        <v>23</v>
      </c>
      <c r="J480" t="s">
        <v>24</v>
      </c>
      <c r="K480" t="s">
        <v>25</v>
      </c>
      <c r="L480">
        <v>4</v>
      </c>
      <c r="M480">
        <v>1</v>
      </c>
      <c r="N480">
        <v>2</v>
      </c>
      <c r="O480">
        <v>4</v>
      </c>
      <c r="P480">
        <v>198.58</v>
      </c>
      <c r="Q480">
        <v>22</v>
      </c>
      <c r="S480">
        <f t="shared" si="28"/>
        <v>557.6865165165168</v>
      </c>
      <c r="T480">
        <f t="shared" si="29"/>
        <v>153</v>
      </c>
      <c r="U480">
        <f t="shared" si="30"/>
        <v>1.9139139139139139</v>
      </c>
      <c r="V480">
        <f t="shared" si="31"/>
        <v>557.6865165165168</v>
      </c>
    </row>
    <row r="481" spans="1:22" x14ac:dyDescent="0.25">
      <c r="A481">
        <v>3967</v>
      </c>
      <c r="B481" s="1">
        <v>43437</v>
      </c>
      <c r="C481" t="s">
        <v>54</v>
      </c>
      <c r="D481" t="s">
        <v>18</v>
      </c>
      <c r="E481" t="s">
        <v>32</v>
      </c>
      <c r="F481" t="s">
        <v>27</v>
      </c>
      <c r="G481" t="s">
        <v>61</v>
      </c>
      <c r="H481" t="s">
        <v>22</v>
      </c>
      <c r="I481" t="s">
        <v>23</v>
      </c>
      <c r="J481" t="s">
        <v>24</v>
      </c>
      <c r="K481" t="s">
        <v>25</v>
      </c>
      <c r="L481">
        <v>5</v>
      </c>
      <c r="M481">
        <v>3</v>
      </c>
      <c r="N481">
        <v>4</v>
      </c>
      <c r="O481">
        <v>4</v>
      </c>
      <c r="P481">
        <v>683.96</v>
      </c>
      <c r="Q481">
        <v>63</v>
      </c>
      <c r="S481">
        <f t="shared" si="28"/>
        <v>557.6865165165168</v>
      </c>
      <c r="T481">
        <f t="shared" si="29"/>
        <v>153</v>
      </c>
      <c r="U481">
        <f t="shared" si="30"/>
        <v>1.9139139139139139</v>
      </c>
      <c r="V481">
        <f t="shared" si="31"/>
        <v>557.6865165165168</v>
      </c>
    </row>
    <row r="482" spans="1:22" x14ac:dyDescent="0.25">
      <c r="A482">
        <v>3968</v>
      </c>
      <c r="B482" s="1">
        <v>44247</v>
      </c>
      <c r="C482" t="s">
        <v>49</v>
      </c>
      <c r="D482" t="s">
        <v>18</v>
      </c>
      <c r="E482" t="s">
        <v>19</v>
      </c>
      <c r="F482" t="s">
        <v>33</v>
      </c>
      <c r="G482" t="s">
        <v>61</v>
      </c>
      <c r="H482" t="s">
        <v>47</v>
      </c>
      <c r="I482" t="s">
        <v>23</v>
      </c>
      <c r="J482" t="s">
        <v>24</v>
      </c>
      <c r="K482" t="s">
        <v>25</v>
      </c>
      <c r="L482">
        <v>5</v>
      </c>
      <c r="M482">
        <v>5</v>
      </c>
      <c r="N482">
        <v>1</v>
      </c>
      <c r="O482">
        <v>3</v>
      </c>
      <c r="P482">
        <v>891.63</v>
      </c>
      <c r="Q482">
        <v>54</v>
      </c>
      <c r="S482">
        <f t="shared" si="28"/>
        <v>557.6865165165168</v>
      </c>
      <c r="T482">
        <f t="shared" si="29"/>
        <v>153</v>
      </c>
      <c r="U482">
        <f t="shared" si="30"/>
        <v>1.9139139139139139</v>
      </c>
      <c r="V482">
        <f t="shared" si="31"/>
        <v>557.6865165165168</v>
      </c>
    </row>
    <row r="483" spans="1:22" x14ac:dyDescent="0.25">
      <c r="A483">
        <v>3969</v>
      </c>
      <c r="B483" s="1">
        <v>44213</v>
      </c>
      <c r="C483" t="s">
        <v>31</v>
      </c>
      <c r="D483" t="s">
        <v>18</v>
      </c>
      <c r="E483" t="s">
        <v>19</v>
      </c>
      <c r="F483" t="s">
        <v>27</v>
      </c>
      <c r="G483" t="s">
        <v>61</v>
      </c>
      <c r="H483" t="s">
        <v>29</v>
      </c>
      <c r="I483" t="s">
        <v>23</v>
      </c>
      <c r="J483" t="s">
        <v>24</v>
      </c>
      <c r="K483" t="s">
        <v>46</v>
      </c>
      <c r="L483">
        <v>4</v>
      </c>
      <c r="M483">
        <v>5</v>
      </c>
      <c r="N483">
        <v>2</v>
      </c>
      <c r="O483">
        <v>4</v>
      </c>
      <c r="P483">
        <v>701.87</v>
      </c>
      <c r="Q483">
        <v>55</v>
      </c>
      <c r="S483">
        <f t="shared" si="28"/>
        <v>557.6865165165168</v>
      </c>
      <c r="T483">
        <f t="shared" si="29"/>
        <v>153</v>
      </c>
      <c r="U483">
        <f t="shared" si="30"/>
        <v>1.9139139139139139</v>
      </c>
      <c r="V483">
        <f t="shared" si="31"/>
        <v>557.6865165165168</v>
      </c>
    </row>
    <row r="484" spans="1:22" x14ac:dyDescent="0.25">
      <c r="A484">
        <v>3970</v>
      </c>
      <c r="B484" s="1">
        <v>44108</v>
      </c>
      <c r="C484" t="s">
        <v>60</v>
      </c>
      <c r="D484" t="s">
        <v>18</v>
      </c>
      <c r="E484" t="s">
        <v>28</v>
      </c>
      <c r="F484" t="s">
        <v>33</v>
      </c>
      <c r="G484" t="s">
        <v>61</v>
      </c>
      <c r="H484" t="s">
        <v>41</v>
      </c>
      <c r="I484" t="s">
        <v>23</v>
      </c>
      <c r="J484" t="s">
        <v>24</v>
      </c>
      <c r="K484" t="s">
        <v>46</v>
      </c>
      <c r="L484">
        <v>5</v>
      </c>
      <c r="M484">
        <v>1</v>
      </c>
      <c r="N484">
        <v>5</v>
      </c>
      <c r="O484">
        <v>4</v>
      </c>
      <c r="P484">
        <v>216.73</v>
      </c>
      <c r="Q484">
        <v>70</v>
      </c>
      <c r="S484">
        <f t="shared" si="28"/>
        <v>557.6865165165168</v>
      </c>
      <c r="T484">
        <f t="shared" si="29"/>
        <v>153</v>
      </c>
      <c r="U484">
        <f t="shared" si="30"/>
        <v>1.9139139139139139</v>
      </c>
      <c r="V484">
        <f t="shared" si="31"/>
        <v>557.6865165165168</v>
      </c>
    </row>
    <row r="485" spans="1:22" x14ac:dyDescent="0.25">
      <c r="A485">
        <v>3971</v>
      </c>
      <c r="B485" s="1">
        <v>44225</v>
      </c>
      <c r="C485" t="s">
        <v>52</v>
      </c>
      <c r="D485" t="s">
        <v>18</v>
      </c>
      <c r="E485" t="s">
        <v>28</v>
      </c>
      <c r="F485" t="s">
        <v>27</v>
      </c>
      <c r="G485" t="s">
        <v>61</v>
      </c>
      <c r="H485" t="s">
        <v>38</v>
      </c>
      <c r="I485" t="s">
        <v>51</v>
      </c>
      <c r="J485" t="s">
        <v>24</v>
      </c>
      <c r="K485" t="s">
        <v>25</v>
      </c>
      <c r="L485">
        <v>3</v>
      </c>
      <c r="M485">
        <v>3</v>
      </c>
      <c r="N485">
        <v>2</v>
      </c>
      <c r="O485">
        <v>5</v>
      </c>
      <c r="P485">
        <v>482.47</v>
      </c>
      <c r="Q485">
        <v>63</v>
      </c>
      <c r="S485">
        <f t="shared" si="28"/>
        <v>557.6865165165168</v>
      </c>
      <c r="T485">
        <f t="shared" si="29"/>
        <v>153</v>
      </c>
      <c r="U485">
        <f t="shared" si="30"/>
        <v>1.9139139139139139</v>
      </c>
      <c r="V485">
        <f t="shared" si="31"/>
        <v>557.6865165165168</v>
      </c>
    </row>
    <row r="486" spans="1:22" x14ac:dyDescent="0.25">
      <c r="A486">
        <v>3972</v>
      </c>
      <c r="B486" s="1">
        <v>44768</v>
      </c>
      <c r="C486" t="s">
        <v>37</v>
      </c>
      <c r="D486" t="s">
        <v>18</v>
      </c>
      <c r="E486" t="s">
        <v>28</v>
      </c>
      <c r="F486" t="s">
        <v>33</v>
      </c>
      <c r="G486" t="s">
        <v>61</v>
      </c>
      <c r="H486" t="s">
        <v>38</v>
      </c>
      <c r="I486" t="s">
        <v>51</v>
      </c>
      <c r="J486" t="s">
        <v>24</v>
      </c>
      <c r="K486" t="s">
        <v>25</v>
      </c>
      <c r="L486">
        <v>5</v>
      </c>
      <c r="M486">
        <v>4</v>
      </c>
      <c r="N486">
        <v>1</v>
      </c>
      <c r="O486">
        <v>5</v>
      </c>
      <c r="P486">
        <v>853.57</v>
      </c>
      <c r="Q486">
        <v>67</v>
      </c>
      <c r="S486">
        <f t="shared" si="28"/>
        <v>557.6865165165168</v>
      </c>
      <c r="T486">
        <f t="shared" si="29"/>
        <v>153</v>
      </c>
      <c r="U486">
        <f t="shared" si="30"/>
        <v>1.9139139139139139</v>
      </c>
      <c r="V486">
        <f t="shared" si="31"/>
        <v>557.6865165165168</v>
      </c>
    </row>
    <row r="487" spans="1:22" x14ac:dyDescent="0.25">
      <c r="A487">
        <v>3973</v>
      </c>
      <c r="B487" s="1">
        <v>43364</v>
      </c>
      <c r="C487" t="s">
        <v>43</v>
      </c>
      <c r="D487" t="s">
        <v>84</v>
      </c>
      <c r="E487" t="s">
        <v>28</v>
      </c>
      <c r="F487" t="s">
        <v>20</v>
      </c>
      <c r="G487" t="s">
        <v>61</v>
      </c>
      <c r="H487" t="s">
        <v>41</v>
      </c>
      <c r="I487" t="s">
        <v>51</v>
      </c>
      <c r="J487" t="s">
        <v>24</v>
      </c>
      <c r="K487" t="s">
        <v>46</v>
      </c>
      <c r="L487">
        <v>3</v>
      </c>
      <c r="M487">
        <v>2</v>
      </c>
      <c r="N487">
        <v>1</v>
      </c>
      <c r="O487">
        <v>1</v>
      </c>
      <c r="P487">
        <v>202.97</v>
      </c>
      <c r="Q487">
        <v>45</v>
      </c>
      <c r="S487">
        <f t="shared" si="28"/>
        <v>557.6865165165168</v>
      </c>
      <c r="T487">
        <f t="shared" si="29"/>
        <v>153</v>
      </c>
      <c r="U487">
        <f t="shared" si="30"/>
        <v>1.9139139139139139</v>
      </c>
      <c r="V487">
        <f t="shared" si="31"/>
        <v>557.6865165165168</v>
      </c>
    </row>
    <row r="488" spans="1:22" x14ac:dyDescent="0.25">
      <c r="A488">
        <v>3974</v>
      </c>
      <c r="B488" s="1">
        <v>43459</v>
      </c>
      <c r="C488" t="s">
        <v>40</v>
      </c>
      <c r="D488" t="s">
        <v>84</v>
      </c>
      <c r="E488" t="s">
        <v>28</v>
      </c>
      <c r="F488" t="s">
        <v>20</v>
      </c>
      <c r="G488" t="s">
        <v>61</v>
      </c>
      <c r="H488" t="s">
        <v>44</v>
      </c>
      <c r="I488" t="s">
        <v>51</v>
      </c>
      <c r="J488" t="s">
        <v>30</v>
      </c>
      <c r="K488" t="s">
        <v>46</v>
      </c>
      <c r="L488">
        <v>4</v>
      </c>
      <c r="M488">
        <v>5</v>
      </c>
      <c r="N488">
        <v>1</v>
      </c>
      <c r="O488">
        <v>1</v>
      </c>
      <c r="P488">
        <v>487.4</v>
      </c>
      <c r="Q488">
        <v>32</v>
      </c>
      <c r="S488">
        <f t="shared" si="28"/>
        <v>557.6865165165168</v>
      </c>
      <c r="T488">
        <f t="shared" si="29"/>
        <v>153</v>
      </c>
      <c r="U488">
        <f t="shared" si="30"/>
        <v>1.9139139139139139</v>
      </c>
      <c r="V488">
        <f t="shared" si="31"/>
        <v>557.6865165165168</v>
      </c>
    </row>
    <row r="489" spans="1:22" x14ac:dyDescent="0.25">
      <c r="A489">
        <v>3975</v>
      </c>
      <c r="B489" s="1">
        <v>44138</v>
      </c>
      <c r="C489" t="s">
        <v>17</v>
      </c>
      <c r="D489" t="s">
        <v>84</v>
      </c>
      <c r="E489" t="s">
        <v>28</v>
      </c>
      <c r="F489" t="s">
        <v>33</v>
      </c>
      <c r="G489" t="s">
        <v>61</v>
      </c>
      <c r="H489" t="s">
        <v>41</v>
      </c>
      <c r="I489" t="s">
        <v>51</v>
      </c>
      <c r="J489" t="s">
        <v>30</v>
      </c>
      <c r="K489" t="s">
        <v>25</v>
      </c>
      <c r="L489">
        <v>1</v>
      </c>
      <c r="M489">
        <v>4</v>
      </c>
      <c r="N489">
        <v>3</v>
      </c>
      <c r="O489">
        <v>2</v>
      </c>
      <c r="P489">
        <v>669.81</v>
      </c>
      <c r="Q489">
        <v>21</v>
      </c>
      <c r="S489">
        <f t="shared" si="28"/>
        <v>557.6865165165168</v>
      </c>
      <c r="T489">
        <f t="shared" si="29"/>
        <v>153</v>
      </c>
      <c r="U489">
        <f t="shared" si="30"/>
        <v>1.9139139139139139</v>
      </c>
      <c r="V489">
        <f t="shared" si="31"/>
        <v>557.6865165165168</v>
      </c>
    </row>
    <row r="490" spans="1:22" x14ac:dyDescent="0.25">
      <c r="A490">
        <v>3976</v>
      </c>
      <c r="B490" s="1">
        <v>44491</v>
      </c>
      <c r="C490" t="s">
        <v>54</v>
      </c>
      <c r="D490" t="s">
        <v>18</v>
      </c>
      <c r="E490" t="s">
        <v>32</v>
      </c>
      <c r="F490" t="s">
        <v>20</v>
      </c>
      <c r="G490" t="s">
        <v>61</v>
      </c>
      <c r="H490" t="s">
        <v>41</v>
      </c>
      <c r="I490" t="s">
        <v>23</v>
      </c>
      <c r="J490" t="s">
        <v>24</v>
      </c>
      <c r="K490" t="s">
        <v>25</v>
      </c>
      <c r="L490">
        <v>4</v>
      </c>
      <c r="M490">
        <v>5</v>
      </c>
      <c r="N490">
        <v>1</v>
      </c>
      <c r="O490">
        <v>1</v>
      </c>
      <c r="P490">
        <v>645.02</v>
      </c>
      <c r="Q490">
        <v>30</v>
      </c>
      <c r="S490">
        <f t="shared" si="28"/>
        <v>557.6865165165168</v>
      </c>
      <c r="T490">
        <f t="shared" si="29"/>
        <v>153</v>
      </c>
      <c r="U490">
        <f t="shared" si="30"/>
        <v>1.9139139139139139</v>
      </c>
      <c r="V490">
        <f t="shared" si="31"/>
        <v>557.6865165165168</v>
      </c>
    </row>
    <row r="491" spans="1:22" x14ac:dyDescent="0.25">
      <c r="A491">
        <v>3977</v>
      </c>
      <c r="B491" s="1">
        <v>43339</v>
      </c>
      <c r="C491" t="s">
        <v>37</v>
      </c>
      <c r="D491" t="s">
        <v>18</v>
      </c>
      <c r="E491" t="s">
        <v>32</v>
      </c>
      <c r="F491" t="s">
        <v>27</v>
      </c>
      <c r="G491" t="s">
        <v>61</v>
      </c>
      <c r="H491" t="s">
        <v>67</v>
      </c>
      <c r="I491" t="s">
        <v>23</v>
      </c>
      <c r="J491" t="s">
        <v>24</v>
      </c>
      <c r="K491" t="s">
        <v>25</v>
      </c>
      <c r="L491">
        <v>1</v>
      </c>
      <c r="M491">
        <v>5</v>
      </c>
      <c r="N491">
        <v>4</v>
      </c>
      <c r="O491">
        <v>2</v>
      </c>
      <c r="P491">
        <v>157.4</v>
      </c>
      <c r="Q491">
        <v>75</v>
      </c>
      <c r="S491">
        <f t="shared" si="28"/>
        <v>557.6865165165168</v>
      </c>
      <c r="T491">
        <f t="shared" si="29"/>
        <v>153</v>
      </c>
      <c r="U491">
        <f t="shared" si="30"/>
        <v>1.9139139139139139</v>
      </c>
      <c r="V491">
        <f t="shared" si="31"/>
        <v>557.6865165165168</v>
      </c>
    </row>
    <row r="492" spans="1:22" x14ac:dyDescent="0.25">
      <c r="A492">
        <v>3978</v>
      </c>
      <c r="B492" s="1">
        <v>44024</v>
      </c>
      <c r="C492" t="s">
        <v>60</v>
      </c>
      <c r="D492" t="s">
        <v>18</v>
      </c>
      <c r="E492" t="s">
        <v>28</v>
      </c>
      <c r="F492" t="s">
        <v>33</v>
      </c>
      <c r="G492" t="s">
        <v>61</v>
      </c>
      <c r="H492" t="s">
        <v>38</v>
      </c>
      <c r="I492" t="s">
        <v>23</v>
      </c>
      <c r="J492" t="s">
        <v>30</v>
      </c>
      <c r="K492" t="s">
        <v>25</v>
      </c>
      <c r="L492">
        <v>4</v>
      </c>
      <c r="M492">
        <v>3</v>
      </c>
      <c r="N492">
        <v>5</v>
      </c>
      <c r="O492">
        <v>1</v>
      </c>
      <c r="P492">
        <v>131.97999999999999</v>
      </c>
      <c r="Q492">
        <v>40</v>
      </c>
      <c r="S492">
        <f t="shared" si="28"/>
        <v>557.6865165165168</v>
      </c>
      <c r="T492">
        <f t="shared" si="29"/>
        <v>153</v>
      </c>
      <c r="U492">
        <f t="shared" si="30"/>
        <v>1.9139139139139139</v>
      </c>
      <c r="V492">
        <f t="shared" si="31"/>
        <v>557.6865165165168</v>
      </c>
    </row>
    <row r="493" spans="1:22" x14ac:dyDescent="0.25">
      <c r="A493">
        <v>3980</v>
      </c>
      <c r="B493" s="1">
        <v>43962</v>
      </c>
      <c r="C493" t="s">
        <v>31</v>
      </c>
      <c r="D493" t="s">
        <v>18</v>
      </c>
      <c r="E493" t="s">
        <v>32</v>
      </c>
      <c r="F493" t="s">
        <v>20</v>
      </c>
      <c r="G493" t="s">
        <v>61</v>
      </c>
      <c r="H493" t="s">
        <v>62</v>
      </c>
      <c r="I493" t="s">
        <v>23</v>
      </c>
      <c r="J493" t="s">
        <v>24</v>
      </c>
      <c r="K493" t="s">
        <v>46</v>
      </c>
      <c r="L493">
        <v>4</v>
      </c>
      <c r="M493">
        <v>2</v>
      </c>
      <c r="N493">
        <v>5</v>
      </c>
      <c r="O493">
        <v>1</v>
      </c>
      <c r="P493">
        <v>695.56</v>
      </c>
      <c r="Q493">
        <v>45</v>
      </c>
      <c r="S493">
        <f t="shared" si="28"/>
        <v>557.6865165165168</v>
      </c>
      <c r="T493">
        <f t="shared" si="29"/>
        <v>153</v>
      </c>
      <c r="U493">
        <f t="shared" si="30"/>
        <v>1.9139139139139139</v>
      </c>
      <c r="V493">
        <f t="shared" si="31"/>
        <v>557.6865165165168</v>
      </c>
    </row>
    <row r="494" spans="1:22" x14ac:dyDescent="0.25">
      <c r="A494">
        <v>3981</v>
      </c>
      <c r="B494" s="1">
        <v>44036</v>
      </c>
      <c r="C494" t="s">
        <v>40</v>
      </c>
      <c r="D494" t="s">
        <v>18</v>
      </c>
      <c r="E494" t="s">
        <v>32</v>
      </c>
      <c r="F494" t="s">
        <v>27</v>
      </c>
      <c r="G494" t="s">
        <v>61</v>
      </c>
      <c r="H494" t="s">
        <v>41</v>
      </c>
      <c r="I494" t="s">
        <v>23</v>
      </c>
      <c r="J494" t="s">
        <v>24</v>
      </c>
      <c r="K494" t="s">
        <v>25</v>
      </c>
      <c r="L494">
        <v>1</v>
      </c>
      <c r="M494">
        <v>2</v>
      </c>
      <c r="N494">
        <v>4</v>
      </c>
      <c r="O494">
        <v>2</v>
      </c>
      <c r="P494">
        <v>869.96</v>
      </c>
      <c r="Q494">
        <v>60</v>
      </c>
      <c r="S494">
        <f t="shared" si="28"/>
        <v>557.6865165165168</v>
      </c>
      <c r="T494">
        <f t="shared" si="29"/>
        <v>153</v>
      </c>
      <c r="U494">
        <f t="shared" si="30"/>
        <v>1.9139139139139139</v>
      </c>
      <c r="V494">
        <f t="shared" si="31"/>
        <v>557.6865165165168</v>
      </c>
    </row>
    <row r="495" spans="1:22" x14ac:dyDescent="0.25">
      <c r="A495">
        <v>3982</v>
      </c>
      <c r="B495" s="1">
        <v>44782</v>
      </c>
      <c r="C495" t="s">
        <v>17</v>
      </c>
      <c r="D495" t="s">
        <v>18</v>
      </c>
      <c r="E495" t="s">
        <v>28</v>
      </c>
      <c r="F495" t="s">
        <v>33</v>
      </c>
      <c r="G495" t="s">
        <v>61</v>
      </c>
      <c r="H495" t="s">
        <v>29</v>
      </c>
      <c r="I495" t="s">
        <v>23</v>
      </c>
      <c r="J495" t="s">
        <v>24</v>
      </c>
      <c r="K495" t="s">
        <v>64</v>
      </c>
      <c r="L495">
        <v>1</v>
      </c>
      <c r="M495">
        <v>1</v>
      </c>
      <c r="N495">
        <v>1</v>
      </c>
      <c r="O495">
        <v>1</v>
      </c>
      <c r="P495">
        <v>189.91</v>
      </c>
      <c r="Q495">
        <v>65</v>
      </c>
      <c r="S495">
        <f t="shared" si="28"/>
        <v>557.6865165165168</v>
      </c>
      <c r="T495">
        <f t="shared" si="29"/>
        <v>153</v>
      </c>
      <c r="U495">
        <f t="shared" si="30"/>
        <v>1.9139139139139139</v>
      </c>
      <c r="V495">
        <f t="shared" si="31"/>
        <v>557.6865165165168</v>
      </c>
    </row>
    <row r="496" spans="1:22" x14ac:dyDescent="0.25">
      <c r="A496">
        <v>3983</v>
      </c>
      <c r="B496" s="1">
        <v>44724</v>
      </c>
      <c r="C496" t="s">
        <v>52</v>
      </c>
      <c r="D496" t="s">
        <v>18</v>
      </c>
      <c r="E496" t="s">
        <v>32</v>
      </c>
      <c r="F496" t="s">
        <v>27</v>
      </c>
      <c r="G496" t="s">
        <v>61</v>
      </c>
      <c r="H496" t="s">
        <v>41</v>
      </c>
      <c r="I496" t="s">
        <v>23</v>
      </c>
      <c r="J496" t="s">
        <v>24</v>
      </c>
      <c r="K496" t="s">
        <v>46</v>
      </c>
      <c r="L496">
        <v>4</v>
      </c>
      <c r="M496">
        <v>3</v>
      </c>
      <c r="N496">
        <v>1</v>
      </c>
      <c r="O496">
        <v>5</v>
      </c>
      <c r="P496">
        <v>407.96</v>
      </c>
      <c r="Q496">
        <v>58</v>
      </c>
      <c r="S496">
        <f t="shared" si="28"/>
        <v>557.6865165165168</v>
      </c>
      <c r="T496">
        <f t="shared" si="29"/>
        <v>153</v>
      </c>
      <c r="U496">
        <f t="shared" si="30"/>
        <v>1.9139139139139139</v>
      </c>
      <c r="V496">
        <f t="shared" si="31"/>
        <v>557.6865165165168</v>
      </c>
    </row>
    <row r="497" spans="1:22" x14ac:dyDescent="0.25">
      <c r="A497">
        <v>3984</v>
      </c>
      <c r="B497" s="1">
        <v>44602</v>
      </c>
      <c r="C497" t="s">
        <v>26</v>
      </c>
      <c r="D497" t="s">
        <v>18</v>
      </c>
      <c r="E497" t="s">
        <v>19</v>
      </c>
      <c r="F497" t="s">
        <v>33</v>
      </c>
      <c r="G497" t="s">
        <v>61</v>
      </c>
      <c r="H497" t="s">
        <v>67</v>
      </c>
      <c r="I497" t="s">
        <v>51</v>
      </c>
      <c r="J497" t="s">
        <v>24</v>
      </c>
      <c r="K497" t="s">
        <v>25</v>
      </c>
      <c r="L497">
        <v>5</v>
      </c>
      <c r="M497">
        <v>5</v>
      </c>
      <c r="N497">
        <v>4</v>
      </c>
      <c r="O497">
        <v>1</v>
      </c>
      <c r="P497">
        <v>202.91</v>
      </c>
      <c r="Q497">
        <v>59</v>
      </c>
      <c r="S497">
        <f t="shared" si="28"/>
        <v>557.6865165165168</v>
      </c>
      <c r="T497">
        <f t="shared" si="29"/>
        <v>153</v>
      </c>
      <c r="U497">
        <f t="shared" si="30"/>
        <v>1.9139139139139139</v>
      </c>
      <c r="V497">
        <f t="shared" si="31"/>
        <v>557.6865165165168</v>
      </c>
    </row>
    <row r="498" spans="1:22" x14ac:dyDescent="0.25">
      <c r="A498">
        <v>3985</v>
      </c>
      <c r="B498" s="1">
        <v>44939</v>
      </c>
      <c r="C498" t="s">
        <v>54</v>
      </c>
      <c r="D498" t="s">
        <v>84</v>
      </c>
      <c r="E498" t="s">
        <v>28</v>
      </c>
      <c r="F498" t="s">
        <v>27</v>
      </c>
      <c r="G498" t="s">
        <v>61</v>
      </c>
      <c r="H498" t="s">
        <v>70</v>
      </c>
      <c r="I498" t="s">
        <v>51</v>
      </c>
      <c r="J498" t="s">
        <v>30</v>
      </c>
      <c r="K498" t="s">
        <v>25</v>
      </c>
      <c r="L498">
        <v>5</v>
      </c>
      <c r="M498">
        <v>4</v>
      </c>
      <c r="N498">
        <v>2</v>
      </c>
      <c r="O498">
        <v>4</v>
      </c>
      <c r="P498">
        <v>956.95</v>
      </c>
      <c r="Q498">
        <v>31</v>
      </c>
      <c r="S498">
        <f t="shared" si="28"/>
        <v>557.6865165165168</v>
      </c>
      <c r="T498">
        <f t="shared" si="29"/>
        <v>153</v>
      </c>
      <c r="U498">
        <f t="shared" si="30"/>
        <v>1.9139139139139139</v>
      </c>
      <c r="V498">
        <f t="shared" si="31"/>
        <v>557.6865165165168</v>
      </c>
    </row>
    <row r="499" spans="1:22" x14ac:dyDescent="0.25">
      <c r="A499">
        <v>3986</v>
      </c>
      <c r="B499" s="1">
        <v>43900</v>
      </c>
      <c r="C499" t="s">
        <v>37</v>
      </c>
      <c r="D499" t="s">
        <v>18</v>
      </c>
      <c r="E499" t="s">
        <v>28</v>
      </c>
      <c r="F499" t="s">
        <v>27</v>
      </c>
      <c r="G499" t="s">
        <v>61</v>
      </c>
      <c r="H499" t="s">
        <v>68</v>
      </c>
      <c r="I499" t="s">
        <v>51</v>
      </c>
      <c r="J499" t="s">
        <v>24</v>
      </c>
      <c r="K499" t="s">
        <v>25</v>
      </c>
      <c r="L499">
        <v>4</v>
      </c>
      <c r="M499">
        <v>3</v>
      </c>
      <c r="N499">
        <v>2</v>
      </c>
      <c r="O499">
        <v>5</v>
      </c>
      <c r="P499">
        <v>813.03</v>
      </c>
      <c r="Q499">
        <v>48</v>
      </c>
      <c r="S499">
        <f t="shared" si="28"/>
        <v>557.6865165165168</v>
      </c>
      <c r="T499">
        <f t="shared" si="29"/>
        <v>153</v>
      </c>
      <c r="U499">
        <f t="shared" si="30"/>
        <v>1.9139139139139139</v>
      </c>
      <c r="V499">
        <f t="shared" si="31"/>
        <v>557.6865165165168</v>
      </c>
    </row>
    <row r="500" spans="1:22" x14ac:dyDescent="0.25">
      <c r="A500">
        <v>3987</v>
      </c>
      <c r="B500" s="1">
        <v>44617</v>
      </c>
      <c r="C500" t="s">
        <v>60</v>
      </c>
      <c r="D500" t="s">
        <v>84</v>
      </c>
      <c r="E500" t="s">
        <v>32</v>
      </c>
      <c r="F500" t="s">
        <v>27</v>
      </c>
      <c r="G500" t="s">
        <v>61</v>
      </c>
      <c r="H500" t="s">
        <v>68</v>
      </c>
      <c r="I500" t="s">
        <v>51</v>
      </c>
      <c r="J500" t="s">
        <v>30</v>
      </c>
      <c r="K500" t="s">
        <v>46</v>
      </c>
      <c r="L500">
        <v>5</v>
      </c>
      <c r="M500">
        <v>4</v>
      </c>
      <c r="N500">
        <v>1</v>
      </c>
      <c r="O500">
        <v>1</v>
      </c>
      <c r="P500">
        <v>962.54</v>
      </c>
      <c r="Q500">
        <v>40</v>
      </c>
      <c r="S500">
        <f t="shared" si="28"/>
        <v>557.6865165165168</v>
      </c>
      <c r="T500">
        <f t="shared" si="29"/>
        <v>153</v>
      </c>
      <c r="U500">
        <f t="shared" si="30"/>
        <v>1.9139139139139139</v>
      </c>
      <c r="V500">
        <f t="shared" si="31"/>
        <v>557.6865165165168</v>
      </c>
    </row>
    <row r="501" spans="1:22" x14ac:dyDescent="0.25">
      <c r="A501">
        <v>3989</v>
      </c>
      <c r="B501" s="1">
        <v>44753</v>
      </c>
      <c r="C501" t="s">
        <v>37</v>
      </c>
      <c r="D501" t="s">
        <v>18</v>
      </c>
      <c r="E501" t="s">
        <v>32</v>
      </c>
      <c r="F501" t="s">
        <v>20</v>
      </c>
      <c r="G501" t="s">
        <v>61</v>
      </c>
      <c r="H501" t="s">
        <v>38</v>
      </c>
      <c r="I501" t="s">
        <v>23</v>
      </c>
      <c r="J501" t="s">
        <v>24</v>
      </c>
      <c r="K501" t="s">
        <v>25</v>
      </c>
      <c r="L501">
        <v>2</v>
      </c>
      <c r="M501">
        <v>1</v>
      </c>
      <c r="N501">
        <v>1</v>
      </c>
      <c r="O501">
        <v>5</v>
      </c>
      <c r="P501">
        <v>866.51</v>
      </c>
      <c r="Q501">
        <v>70</v>
      </c>
      <c r="S501">
        <f t="shared" si="28"/>
        <v>557.6865165165168</v>
      </c>
      <c r="T501">
        <f t="shared" si="29"/>
        <v>153</v>
      </c>
      <c r="U501">
        <f t="shared" si="30"/>
        <v>1.9139139139139139</v>
      </c>
      <c r="V501">
        <f t="shared" si="31"/>
        <v>557.6865165165168</v>
      </c>
    </row>
    <row r="502" spans="1:22" x14ac:dyDescent="0.25">
      <c r="A502">
        <v>3991</v>
      </c>
      <c r="B502" s="1">
        <v>45026</v>
      </c>
      <c r="C502" t="s">
        <v>40</v>
      </c>
      <c r="D502" t="s">
        <v>18</v>
      </c>
      <c r="E502" t="s">
        <v>19</v>
      </c>
      <c r="F502" t="s">
        <v>33</v>
      </c>
      <c r="G502" t="s">
        <v>61</v>
      </c>
      <c r="H502" t="s">
        <v>62</v>
      </c>
      <c r="I502" t="s">
        <v>23</v>
      </c>
      <c r="J502" t="s">
        <v>30</v>
      </c>
      <c r="K502" t="s">
        <v>25</v>
      </c>
      <c r="L502">
        <v>2</v>
      </c>
      <c r="M502">
        <v>3</v>
      </c>
      <c r="N502">
        <v>2</v>
      </c>
      <c r="O502">
        <v>4</v>
      </c>
      <c r="P502">
        <v>716.52</v>
      </c>
      <c r="Q502">
        <v>49</v>
      </c>
      <c r="S502">
        <f t="shared" si="28"/>
        <v>557.6865165165168</v>
      </c>
      <c r="T502">
        <f t="shared" si="29"/>
        <v>153</v>
      </c>
      <c r="U502">
        <f t="shared" si="30"/>
        <v>1.9139139139139139</v>
      </c>
      <c r="V502">
        <f t="shared" si="31"/>
        <v>557.6865165165168</v>
      </c>
    </row>
    <row r="503" spans="1:22" x14ac:dyDescent="0.25">
      <c r="A503">
        <v>3992</v>
      </c>
      <c r="B503" s="1">
        <v>44903</v>
      </c>
      <c r="C503" t="s">
        <v>52</v>
      </c>
      <c r="D503" t="s">
        <v>18</v>
      </c>
      <c r="E503" t="s">
        <v>28</v>
      </c>
      <c r="F503" t="s">
        <v>27</v>
      </c>
      <c r="G503" t="s">
        <v>61</v>
      </c>
      <c r="H503" t="s">
        <v>44</v>
      </c>
      <c r="I503" t="s">
        <v>23</v>
      </c>
      <c r="J503" t="s">
        <v>30</v>
      </c>
      <c r="K503" t="s">
        <v>25</v>
      </c>
      <c r="L503">
        <v>4</v>
      </c>
      <c r="M503">
        <v>3</v>
      </c>
      <c r="N503">
        <v>1</v>
      </c>
      <c r="O503">
        <v>3</v>
      </c>
      <c r="P503">
        <v>323.25</v>
      </c>
      <c r="Q503">
        <v>61</v>
      </c>
      <c r="S503">
        <f t="shared" si="28"/>
        <v>557.6865165165168</v>
      </c>
      <c r="T503">
        <f t="shared" si="29"/>
        <v>153</v>
      </c>
      <c r="U503">
        <f t="shared" si="30"/>
        <v>1.9139139139139139</v>
      </c>
      <c r="V503">
        <f t="shared" si="31"/>
        <v>557.6865165165168</v>
      </c>
    </row>
    <row r="504" spans="1:22" x14ac:dyDescent="0.25">
      <c r="A504">
        <v>3993</v>
      </c>
      <c r="B504" s="1">
        <v>44734</v>
      </c>
      <c r="C504" t="s">
        <v>60</v>
      </c>
      <c r="D504" t="s">
        <v>18</v>
      </c>
      <c r="E504" t="s">
        <v>19</v>
      </c>
      <c r="F504" t="s">
        <v>20</v>
      </c>
      <c r="G504" t="s">
        <v>61</v>
      </c>
      <c r="H504" t="s">
        <v>41</v>
      </c>
      <c r="I504" t="s">
        <v>23</v>
      </c>
      <c r="J504" t="s">
        <v>24</v>
      </c>
      <c r="K504" t="s">
        <v>25</v>
      </c>
      <c r="L504">
        <v>3</v>
      </c>
      <c r="M504">
        <v>4</v>
      </c>
      <c r="N504">
        <v>4</v>
      </c>
      <c r="O504">
        <v>2</v>
      </c>
      <c r="P504">
        <v>229</v>
      </c>
      <c r="Q504">
        <v>26</v>
      </c>
      <c r="S504">
        <f t="shared" si="28"/>
        <v>557.6865165165168</v>
      </c>
      <c r="T504">
        <f t="shared" si="29"/>
        <v>153</v>
      </c>
      <c r="U504">
        <f t="shared" si="30"/>
        <v>1.9139139139139139</v>
      </c>
      <c r="V504">
        <f t="shared" si="31"/>
        <v>557.6865165165168</v>
      </c>
    </row>
    <row r="505" spans="1:22" x14ac:dyDescent="0.25">
      <c r="A505">
        <v>3994</v>
      </c>
      <c r="B505" s="1">
        <v>44826</v>
      </c>
      <c r="C505" t="s">
        <v>31</v>
      </c>
      <c r="D505" t="s">
        <v>18</v>
      </c>
      <c r="E505" t="s">
        <v>32</v>
      </c>
      <c r="F505" t="s">
        <v>27</v>
      </c>
      <c r="G505" t="s">
        <v>61</v>
      </c>
      <c r="H505" t="s">
        <v>41</v>
      </c>
      <c r="I505" t="s">
        <v>23</v>
      </c>
      <c r="J505" t="s">
        <v>24</v>
      </c>
      <c r="K505" t="s">
        <v>25</v>
      </c>
      <c r="L505">
        <v>3</v>
      </c>
      <c r="M505">
        <v>5</v>
      </c>
      <c r="N505">
        <v>2</v>
      </c>
      <c r="O505">
        <v>1</v>
      </c>
      <c r="P505">
        <v>861.91</v>
      </c>
      <c r="Q505">
        <v>35</v>
      </c>
      <c r="S505">
        <f t="shared" si="28"/>
        <v>557.6865165165168</v>
      </c>
      <c r="T505">
        <f t="shared" si="29"/>
        <v>153</v>
      </c>
      <c r="U505">
        <f t="shared" si="30"/>
        <v>1.9139139139139139</v>
      </c>
      <c r="V505">
        <f t="shared" si="31"/>
        <v>557.6865165165168</v>
      </c>
    </row>
    <row r="506" spans="1:22" x14ac:dyDescent="0.25">
      <c r="A506">
        <v>3995</v>
      </c>
      <c r="B506" s="1">
        <v>43661</v>
      </c>
      <c r="C506" t="s">
        <v>49</v>
      </c>
      <c r="D506" t="s">
        <v>18</v>
      </c>
      <c r="E506" t="s">
        <v>32</v>
      </c>
      <c r="F506" t="s">
        <v>27</v>
      </c>
      <c r="G506" t="s">
        <v>61</v>
      </c>
      <c r="H506" t="s">
        <v>67</v>
      </c>
      <c r="I506" t="s">
        <v>23</v>
      </c>
      <c r="J506" t="s">
        <v>24</v>
      </c>
      <c r="K506" t="s">
        <v>46</v>
      </c>
      <c r="L506">
        <v>4</v>
      </c>
      <c r="M506">
        <v>5</v>
      </c>
      <c r="N506">
        <v>2</v>
      </c>
      <c r="O506">
        <v>3</v>
      </c>
      <c r="P506">
        <v>803.73</v>
      </c>
      <c r="Q506">
        <v>73</v>
      </c>
      <c r="S506">
        <f t="shared" si="28"/>
        <v>557.6865165165168</v>
      </c>
      <c r="T506">
        <f t="shared" si="29"/>
        <v>153</v>
      </c>
      <c r="U506">
        <f t="shared" si="30"/>
        <v>1.9139139139139139</v>
      </c>
      <c r="V506">
        <f t="shared" si="31"/>
        <v>557.6865165165168</v>
      </c>
    </row>
    <row r="507" spans="1:22" x14ac:dyDescent="0.25">
      <c r="A507">
        <v>3996</v>
      </c>
      <c r="B507" s="1">
        <v>44440</v>
      </c>
      <c r="C507" t="s">
        <v>54</v>
      </c>
      <c r="D507" t="s">
        <v>18</v>
      </c>
      <c r="E507" t="s">
        <v>28</v>
      </c>
      <c r="F507" t="s">
        <v>20</v>
      </c>
      <c r="G507" t="s">
        <v>61</v>
      </c>
      <c r="H507" t="s">
        <v>68</v>
      </c>
      <c r="I507" t="s">
        <v>23</v>
      </c>
      <c r="J507" t="s">
        <v>24</v>
      </c>
      <c r="K507" t="s">
        <v>25</v>
      </c>
      <c r="L507">
        <v>3</v>
      </c>
      <c r="M507">
        <v>5</v>
      </c>
      <c r="N507">
        <v>1</v>
      </c>
      <c r="O507">
        <v>2</v>
      </c>
      <c r="P507">
        <v>808.51</v>
      </c>
      <c r="Q507">
        <v>22</v>
      </c>
      <c r="S507">
        <f t="shared" si="28"/>
        <v>557.6865165165168</v>
      </c>
      <c r="T507">
        <f t="shared" si="29"/>
        <v>153</v>
      </c>
      <c r="U507">
        <f t="shared" si="30"/>
        <v>1.9139139139139139</v>
      </c>
      <c r="V507">
        <f t="shared" si="31"/>
        <v>557.6865165165168</v>
      </c>
    </row>
    <row r="508" spans="1:22" x14ac:dyDescent="0.25">
      <c r="A508">
        <v>3997</v>
      </c>
      <c r="B508" s="1">
        <v>43662</v>
      </c>
      <c r="C508" t="s">
        <v>26</v>
      </c>
      <c r="D508" t="s">
        <v>18</v>
      </c>
      <c r="E508" t="s">
        <v>19</v>
      </c>
      <c r="F508" t="s">
        <v>27</v>
      </c>
      <c r="G508" t="s">
        <v>61</v>
      </c>
      <c r="H508" t="s">
        <v>47</v>
      </c>
      <c r="I508" t="s">
        <v>51</v>
      </c>
      <c r="J508" t="s">
        <v>30</v>
      </c>
      <c r="K508" t="s">
        <v>64</v>
      </c>
      <c r="L508">
        <v>2</v>
      </c>
      <c r="M508">
        <v>4</v>
      </c>
      <c r="N508">
        <v>1</v>
      </c>
      <c r="O508">
        <v>4</v>
      </c>
      <c r="P508">
        <v>629.16</v>
      </c>
      <c r="Q508">
        <v>73</v>
      </c>
      <c r="S508">
        <f t="shared" si="28"/>
        <v>557.6865165165168</v>
      </c>
      <c r="T508">
        <f t="shared" si="29"/>
        <v>153</v>
      </c>
      <c r="U508">
        <f t="shared" si="30"/>
        <v>1.9139139139139139</v>
      </c>
      <c r="V508">
        <f t="shared" si="31"/>
        <v>557.6865165165168</v>
      </c>
    </row>
    <row r="509" spans="1:22" x14ac:dyDescent="0.25">
      <c r="A509">
        <v>3998</v>
      </c>
      <c r="B509" s="1">
        <v>44554</v>
      </c>
      <c r="C509" t="s">
        <v>17</v>
      </c>
      <c r="D509" t="s">
        <v>84</v>
      </c>
      <c r="E509" t="s">
        <v>32</v>
      </c>
      <c r="F509" t="s">
        <v>33</v>
      </c>
      <c r="G509" t="s">
        <v>61</v>
      </c>
      <c r="H509" t="s">
        <v>71</v>
      </c>
      <c r="I509" t="s">
        <v>51</v>
      </c>
      <c r="J509" t="s">
        <v>24</v>
      </c>
      <c r="K509" t="s">
        <v>25</v>
      </c>
      <c r="L509">
        <v>5</v>
      </c>
      <c r="M509">
        <v>5</v>
      </c>
      <c r="N509">
        <v>2</v>
      </c>
      <c r="O509">
        <v>1</v>
      </c>
      <c r="P509">
        <v>994.09</v>
      </c>
      <c r="Q509">
        <v>50</v>
      </c>
      <c r="S509">
        <f t="shared" si="28"/>
        <v>557.6865165165168</v>
      </c>
      <c r="T509">
        <f t="shared" si="29"/>
        <v>153</v>
      </c>
      <c r="U509">
        <f t="shared" si="30"/>
        <v>1.9139139139139139</v>
      </c>
      <c r="V509">
        <f t="shared" si="31"/>
        <v>557.6865165165168</v>
      </c>
    </row>
    <row r="510" spans="1:22" x14ac:dyDescent="0.25">
      <c r="A510">
        <v>3999</v>
      </c>
      <c r="B510" s="1">
        <v>43572</v>
      </c>
      <c r="C510" t="s">
        <v>40</v>
      </c>
      <c r="D510" t="s">
        <v>84</v>
      </c>
      <c r="E510" t="s">
        <v>32</v>
      </c>
      <c r="F510" t="s">
        <v>33</v>
      </c>
      <c r="G510" t="s">
        <v>61</v>
      </c>
      <c r="H510" t="s">
        <v>47</v>
      </c>
      <c r="I510" t="s">
        <v>51</v>
      </c>
      <c r="J510" t="s">
        <v>30</v>
      </c>
      <c r="K510" t="s">
        <v>46</v>
      </c>
      <c r="L510">
        <v>5</v>
      </c>
      <c r="M510">
        <v>4</v>
      </c>
      <c r="N510">
        <v>2</v>
      </c>
      <c r="O510">
        <v>5</v>
      </c>
      <c r="P510">
        <v>477.78</v>
      </c>
      <c r="Q510">
        <v>76</v>
      </c>
      <c r="S510">
        <f t="shared" si="28"/>
        <v>557.6865165165168</v>
      </c>
      <c r="T510">
        <f t="shared" si="29"/>
        <v>153</v>
      </c>
      <c r="U510">
        <f t="shared" si="30"/>
        <v>1.9139139139139139</v>
      </c>
      <c r="V510">
        <f t="shared" si="31"/>
        <v>557.6865165165168</v>
      </c>
    </row>
    <row r="511" spans="1:22" x14ac:dyDescent="0.25">
      <c r="A511">
        <v>4000</v>
      </c>
      <c r="B511" s="1">
        <v>43764</v>
      </c>
      <c r="C511" t="s">
        <v>60</v>
      </c>
      <c r="D511" t="s">
        <v>84</v>
      </c>
      <c r="E511" t="s">
        <v>19</v>
      </c>
      <c r="F511" t="s">
        <v>20</v>
      </c>
      <c r="G511" t="s">
        <v>61</v>
      </c>
      <c r="H511" t="s">
        <v>41</v>
      </c>
      <c r="I511" t="s">
        <v>51</v>
      </c>
      <c r="J511" t="s">
        <v>30</v>
      </c>
      <c r="K511" t="s">
        <v>25</v>
      </c>
      <c r="L511">
        <v>3</v>
      </c>
      <c r="M511">
        <v>2</v>
      </c>
      <c r="N511">
        <v>1</v>
      </c>
      <c r="O511">
        <v>4</v>
      </c>
      <c r="P511">
        <v>951.27</v>
      </c>
      <c r="Q511">
        <v>59</v>
      </c>
      <c r="S511">
        <f t="shared" si="28"/>
        <v>557.6865165165168</v>
      </c>
      <c r="T511">
        <f t="shared" si="29"/>
        <v>153</v>
      </c>
      <c r="U511">
        <f t="shared" si="30"/>
        <v>1.9139139139139139</v>
      </c>
      <c r="V511">
        <f t="shared" si="31"/>
        <v>557.6865165165168</v>
      </c>
    </row>
    <row r="512" spans="1:22" x14ac:dyDescent="0.25">
      <c r="A512">
        <v>1001</v>
      </c>
      <c r="B512" s="1">
        <v>43706</v>
      </c>
      <c r="C512" t="s">
        <v>40</v>
      </c>
      <c r="D512" t="s">
        <v>18</v>
      </c>
      <c r="E512" t="s">
        <v>28</v>
      </c>
      <c r="F512" t="s">
        <v>27</v>
      </c>
      <c r="G512" t="s">
        <v>78</v>
      </c>
      <c r="H512" t="s">
        <v>47</v>
      </c>
      <c r="I512" t="s">
        <v>23</v>
      </c>
      <c r="J512" t="s">
        <v>24</v>
      </c>
      <c r="K512" t="s">
        <v>25</v>
      </c>
      <c r="L512">
        <v>2</v>
      </c>
      <c r="M512">
        <v>5</v>
      </c>
      <c r="N512">
        <v>5</v>
      </c>
      <c r="O512">
        <v>4</v>
      </c>
      <c r="P512">
        <v>510.83</v>
      </c>
      <c r="Q512">
        <v>62</v>
      </c>
      <c r="S512">
        <f t="shared" si="28"/>
        <v>557.6865165165168</v>
      </c>
      <c r="T512">
        <f t="shared" si="29"/>
        <v>153</v>
      </c>
      <c r="U512">
        <f t="shared" si="30"/>
        <v>1.9139139139139139</v>
      </c>
      <c r="V512">
        <f t="shared" si="31"/>
        <v>557.6865165165168</v>
      </c>
    </row>
    <row r="513" spans="1:22" x14ac:dyDescent="0.25">
      <c r="A513">
        <v>1002</v>
      </c>
      <c r="B513" s="1">
        <v>44907</v>
      </c>
      <c r="C513" t="s">
        <v>49</v>
      </c>
      <c r="D513" t="s">
        <v>18</v>
      </c>
      <c r="E513" t="s">
        <v>28</v>
      </c>
      <c r="F513" t="s">
        <v>27</v>
      </c>
      <c r="G513" t="s">
        <v>78</v>
      </c>
      <c r="H513" t="s">
        <v>68</v>
      </c>
      <c r="I513" t="s">
        <v>23</v>
      </c>
      <c r="J513" t="s">
        <v>24</v>
      </c>
      <c r="K513" t="s">
        <v>25</v>
      </c>
      <c r="L513">
        <v>4</v>
      </c>
      <c r="M513">
        <v>5</v>
      </c>
      <c r="N513">
        <v>3</v>
      </c>
      <c r="O513">
        <v>2</v>
      </c>
      <c r="P513">
        <v>582.37</v>
      </c>
      <c r="Q513">
        <v>72</v>
      </c>
      <c r="S513">
        <f t="shared" si="28"/>
        <v>557.6865165165168</v>
      </c>
      <c r="T513">
        <f t="shared" si="29"/>
        <v>153</v>
      </c>
      <c r="U513">
        <f t="shared" si="30"/>
        <v>1.9139139139139139</v>
      </c>
      <c r="V513">
        <f t="shared" si="31"/>
        <v>557.6865165165168</v>
      </c>
    </row>
    <row r="514" spans="1:22" x14ac:dyDescent="0.25">
      <c r="A514">
        <v>1003</v>
      </c>
      <c r="B514" s="1">
        <v>44993</v>
      </c>
      <c r="C514" t="s">
        <v>43</v>
      </c>
      <c r="D514" t="s">
        <v>18</v>
      </c>
      <c r="E514" t="s">
        <v>19</v>
      </c>
      <c r="F514" t="s">
        <v>27</v>
      </c>
      <c r="G514" t="s">
        <v>78</v>
      </c>
      <c r="H514" t="s">
        <v>41</v>
      </c>
      <c r="I514" t="s">
        <v>23</v>
      </c>
      <c r="J514" t="s">
        <v>24</v>
      </c>
      <c r="K514" t="s">
        <v>25</v>
      </c>
      <c r="L514">
        <v>2</v>
      </c>
      <c r="M514">
        <v>5</v>
      </c>
      <c r="N514">
        <v>2</v>
      </c>
      <c r="O514">
        <v>4</v>
      </c>
      <c r="P514">
        <v>777.06</v>
      </c>
      <c r="Q514">
        <v>50</v>
      </c>
      <c r="S514">
        <f t="shared" ref="S514:S577" si="32">AVERAGE(P:P)-1</f>
        <v>557.6865165165168</v>
      </c>
      <c r="T514">
        <f t="shared" ref="T514:T577" si="33">COUNTIF(D:D,"Inactive")</f>
        <v>153</v>
      </c>
      <c r="U514">
        <f t="shared" ref="U514:U577" si="34">AVERAGE(L:L)-1</f>
        <v>1.9139139139139139</v>
      </c>
      <c r="V514">
        <f t="shared" ref="V514:V577" si="35">AVERAGE(P:P)-1</f>
        <v>557.6865165165168</v>
      </c>
    </row>
    <row r="515" spans="1:22" x14ac:dyDescent="0.25">
      <c r="A515">
        <v>1004</v>
      </c>
      <c r="B515" s="1">
        <v>43980</v>
      </c>
      <c r="C515" t="s">
        <v>60</v>
      </c>
      <c r="D515" t="s">
        <v>18</v>
      </c>
      <c r="E515" t="s">
        <v>28</v>
      </c>
      <c r="F515" t="s">
        <v>20</v>
      </c>
      <c r="G515" t="s">
        <v>78</v>
      </c>
      <c r="H515" t="s">
        <v>62</v>
      </c>
      <c r="I515" t="s">
        <v>23</v>
      </c>
      <c r="J515" t="s">
        <v>30</v>
      </c>
      <c r="K515" t="s">
        <v>25</v>
      </c>
      <c r="L515">
        <v>3</v>
      </c>
      <c r="M515">
        <v>5</v>
      </c>
      <c r="N515">
        <v>3</v>
      </c>
      <c r="O515">
        <v>2</v>
      </c>
      <c r="P515">
        <v>824.3</v>
      </c>
      <c r="Q515">
        <v>63</v>
      </c>
      <c r="S515">
        <f t="shared" si="32"/>
        <v>557.6865165165168</v>
      </c>
      <c r="T515">
        <f t="shared" si="33"/>
        <v>153</v>
      </c>
      <c r="U515">
        <f t="shared" si="34"/>
        <v>1.9139139139139139</v>
      </c>
      <c r="V515">
        <f t="shared" si="35"/>
        <v>557.6865165165168</v>
      </c>
    </row>
    <row r="516" spans="1:22" x14ac:dyDescent="0.25">
      <c r="A516">
        <v>1005</v>
      </c>
      <c r="B516" s="1">
        <v>44820</v>
      </c>
      <c r="C516" t="s">
        <v>52</v>
      </c>
      <c r="D516" t="s">
        <v>18</v>
      </c>
      <c r="E516" t="s">
        <v>32</v>
      </c>
      <c r="F516" t="s">
        <v>33</v>
      </c>
      <c r="G516" t="s">
        <v>78</v>
      </c>
      <c r="H516" t="s">
        <v>41</v>
      </c>
      <c r="I516" t="s">
        <v>23</v>
      </c>
      <c r="J516" t="s">
        <v>30</v>
      </c>
      <c r="K516" t="s">
        <v>25</v>
      </c>
      <c r="L516">
        <v>2</v>
      </c>
      <c r="M516">
        <v>4</v>
      </c>
      <c r="N516">
        <v>5</v>
      </c>
      <c r="O516">
        <v>4</v>
      </c>
      <c r="P516">
        <v>145.99</v>
      </c>
      <c r="Q516">
        <v>52</v>
      </c>
      <c r="S516">
        <f t="shared" si="32"/>
        <v>557.6865165165168</v>
      </c>
      <c r="T516">
        <f t="shared" si="33"/>
        <v>153</v>
      </c>
      <c r="U516">
        <f t="shared" si="34"/>
        <v>1.9139139139139139</v>
      </c>
      <c r="V516">
        <f t="shared" si="35"/>
        <v>557.6865165165168</v>
      </c>
    </row>
    <row r="517" spans="1:22" x14ac:dyDescent="0.25">
      <c r="A517">
        <v>1006</v>
      </c>
      <c r="B517" s="1">
        <v>44423</v>
      </c>
      <c r="C517" t="s">
        <v>54</v>
      </c>
      <c r="D517" t="s">
        <v>18</v>
      </c>
      <c r="E517" t="s">
        <v>32</v>
      </c>
      <c r="F517" t="s">
        <v>20</v>
      </c>
      <c r="G517" t="s">
        <v>78</v>
      </c>
      <c r="H517" t="s">
        <v>47</v>
      </c>
      <c r="I517" t="s">
        <v>23</v>
      </c>
      <c r="J517" t="s">
        <v>24</v>
      </c>
      <c r="K517" t="s">
        <v>25</v>
      </c>
      <c r="L517">
        <v>5</v>
      </c>
      <c r="M517">
        <v>2</v>
      </c>
      <c r="N517">
        <v>1</v>
      </c>
      <c r="O517">
        <v>2</v>
      </c>
      <c r="P517">
        <v>838.07</v>
      </c>
      <c r="Q517">
        <v>62</v>
      </c>
      <c r="S517">
        <f t="shared" si="32"/>
        <v>557.6865165165168</v>
      </c>
      <c r="T517">
        <f t="shared" si="33"/>
        <v>153</v>
      </c>
      <c r="U517">
        <f t="shared" si="34"/>
        <v>1.9139139139139139</v>
      </c>
      <c r="V517">
        <f t="shared" si="35"/>
        <v>557.6865165165168</v>
      </c>
    </row>
    <row r="518" spans="1:22" x14ac:dyDescent="0.25">
      <c r="A518">
        <v>1007</v>
      </c>
      <c r="B518" s="1">
        <v>44129</v>
      </c>
      <c r="C518" t="s">
        <v>52</v>
      </c>
      <c r="D518" t="s">
        <v>84</v>
      </c>
      <c r="E518" t="s">
        <v>28</v>
      </c>
      <c r="F518" t="s">
        <v>27</v>
      </c>
      <c r="G518" t="s">
        <v>78</v>
      </c>
      <c r="H518" t="s">
        <v>38</v>
      </c>
      <c r="I518" t="s">
        <v>23</v>
      </c>
      <c r="J518" t="s">
        <v>30</v>
      </c>
      <c r="K518" t="s">
        <v>25</v>
      </c>
      <c r="L518">
        <v>2</v>
      </c>
      <c r="M518">
        <v>1</v>
      </c>
      <c r="N518">
        <v>5</v>
      </c>
      <c r="O518">
        <v>2</v>
      </c>
      <c r="P518">
        <v>667.32</v>
      </c>
      <c r="Q518">
        <v>20</v>
      </c>
      <c r="S518">
        <f t="shared" si="32"/>
        <v>557.6865165165168</v>
      </c>
      <c r="T518">
        <f t="shared" si="33"/>
        <v>153</v>
      </c>
      <c r="U518">
        <f t="shared" si="34"/>
        <v>1.9139139139139139</v>
      </c>
      <c r="V518">
        <f t="shared" si="35"/>
        <v>557.6865165165168</v>
      </c>
    </row>
    <row r="519" spans="1:22" x14ac:dyDescent="0.25">
      <c r="A519">
        <v>1008</v>
      </c>
      <c r="B519" s="1">
        <v>43705</v>
      </c>
      <c r="C519" t="s">
        <v>40</v>
      </c>
      <c r="D519" t="s">
        <v>18</v>
      </c>
      <c r="E519" t="s">
        <v>19</v>
      </c>
      <c r="F519" t="s">
        <v>33</v>
      </c>
      <c r="G519" t="s">
        <v>78</v>
      </c>
      <c r="H519" t="s">
        <v>38</v>
      </c>
      <c r="I519" t="s">
        <v>23</v>
      </c>
      <c r="J519" t="s">
        <v>24</v>
      </c>
      <c r="K519" t="s">
        <v>25</v>
      </c>
      <c r="L519">
        <v>5</v>
      </c>
      <c r="M519">
        <v>2</v>
      </c>
      <c r="N519">
        <v>2</v>
      </c>
      <c r="O519">
        <v>2</v>
      </c>
      <c r="P519">
        <v>758.18</v>
      </c>
      <c r="Q519">
        <v>38</v>
      </c>
      <c r="S519">
        <f t="shared" si="32"/>
        <v>557.6865165165168</v>
      </c>
      <c r="T519">
        <f t="shared" si="33"/>
        <v>153</v>
      </c>
      <c r="U519">
        <f t="shared" si="34"/>
        <v>1.9139139139139139</v>
      </c>
      <c r="V519">
        <f t="shared" si="35"/>
        <v>557.6865165165168</v>
      </c>
    </row>
    <row r="520" spans="1:22" x14ac:dyDescent="0.25">
      <c r="A520">
        <v>1009</v>
      </c>
      <c r="B520" s="1">
        <v>43629</v>
      </c>
      <c r="C520" t="s">
        <v>49</v>
      </c>
      <c r="D520" t="s">
        <v>18</v>
      </c>
      <c r="E520" t="s">
        <v>28</v>
      </c>
      <c r="F520" t="s">
        <v>20</v>
      </c>
      <c r="G520" t="s">
        <v>78</v>
      </c>
      <c r="H520" t="s">
        <v>38</v>
      </c>
      <c r="I520" t="s">
        <v>23</v>
      </c>
      <c r="J520" t="s">
        <v>24</v>
      </c>
      <c r="K520" t="s">
        <v>25</v>
      </c>
      <c r="L520">
        <v>2</v>
      </c>
      <c r="M520">
        <v>5</v>
      </c>
      <c r="N520">
        <v>1</v>
      </c>
      <c r="O520">
        <v>2</v>
      </c>
      <c r="P520">
        <v>101.21</v>
      </c>
      <c r="Q520">
        <v>32</v>
      </c>
      <c r="S520">
        <f t="shared" si="32"/>
        <v>557.6865165165168</v>
      </c>
      <c r="T520">
        <f t="shared" si="33"/>
        <v>153</v>
      </c>
      <c r="U520">
        <f t="shared" si="34"/>
        <v>1.9139139139139139</v>
      </c>
      <c r="V520">
        <f t="shared" si="35"/>
        <v>557.6865165165168</v>
      </c>
    </row>
    <row r="521" spans="1:22" x14ac:dyDescent="0.25">
      <c r="A521">
        <v>1010</v>
      </c>
      <c r="B521" s="1">
        <v>44208</v>
      </c>
      <c r="C521" t="s">
        <v>26</v>
      </c>
      <c r="D521" t="s">
        <v>84</v>
      </c>
      <c r="E521" t="s">
        <v>28</v>
      </c>
      <c r="F521" t="s">
        <v>20</v>
      </c>
      <c r="G521" t="s">
        <v>78</v>
      </c>
      <c r="H521" t="s">
        <v>41</v>
      </c>
      <c r="I521" t="s">
        <v>23</v>
      </c>
      <c r="J521" t="s">
        <v>30</v>
      </c>
      <c r="K521" t="s">
        <v>25</v>
      </c>
      <c r="L521">
        <v>2</v>
      </c>
      <c r="M521">
        <v>4</v>
      </c>
      <c r="N521">
        <v>2</v>
      </c>
      <c r="O521">
        <v>5</v>
      </c>
      <c r="P521">
        <v>332.25</v>
      </c>
      <c r="Q521">
        <v>29</v>
      </c>
      <c r="S521">
        <f t="shared" si="32"/>
        <v>557.6865165165168</v>
      </c>
      <c r="T521">
        <f t="shared" si="33"/>
        <v>153</v>
      </c>
      <c r="U521">
        <f t="shared" si="34"/>
        <v>1.9139139139139139</v>
      </c>
      <c r="V521">
        <f t="shared" si="35"/>
        <v>557.6865165165168</v>
      </c>
    </row>
    <row r="522" spans="1:22" x14ac:dyDescent="0.25">
      <c r="A522">
        <v>1011</v>
      </c>
      <c r="B522" s="1">
        <v>44599</v>
      </c>
      <c r="C522" t="s">
        <v>54</v>
      </c>
      <c r="D522" t="s">
        <v>84</v>
      </c>
      <c r="E522" t="s">
        <v>19</v>
      </c>
      <c r="F522" t="s">
        <v>27</v>
      </c>
      <c r="G522" t="s">
        <v>78</v>
      </c>
      <c r="H522" t="s">
        <v>38</v>
      </c>
      <c r="I522" t="s">
        <v>23</v>
      </c>
      <c r="J522" t="s">
        <v>30</v>
      </c>
      <c r="K522" t="s">
        <v>25</v>
      </c>
      <c r="L522">
        <v>1</v>
      </c>
      <c r="M522">
        <v>2</v>
      </c>
      <c r="N522">
        <v>3</v>
      </c>
      <c r="O522">
        <v>1</v>
      </c>
      <c r="P522">
        <v>803.98</v>
      </c>
      <c r="Q522">
        <v>74</v>
      </c>
      <c r="S522">
        <f t="shared" si="32"/>
        <v>557.6865165165168</v>
      </c>
      <c r="T522">
        <f t="shared" si="33"/>
        <v>153</v>
      </c>
      <c r="U522">
        <f t="shared" si="34"/>
        <v>1.9139139139139139</v>
      </c>
      <c r="V522">
        <f t="shared" si="35"/>
        <v>557.6865165165168</v>
      </c>
    </row>
    <row r="523" spans="1:22" x14ac:dyDescent="0.25">
      <c r="A523">
        <v>1012</v>
      </c>
      <c r="B523" s="1">
        <v>44144</v>
      </c>
      <c r="C523" t="s">
        <v>37</v>
      </c>
      <c r="D523" t="s">
        <v>84</v>
      </c>
      <c r="E523" t="s">
        <v>19</v>
      </c>
      <c r="F523" t="s">
        <v>27</v>
      </c>
      <c r="G523" t="s">
        <v>78</v>
      </c>
      <c r="H523" t="s">
        <v>44</v>
      </c>
      <c r="I523" t="s">
        <v>23</v>
      </c>
      <c r="J523" t="s">
        <v>30</v>
      </c>
      <c r="K523" t="s">
        <v>25</v>
      </c>
      <c r="L523">
        <v>3</v>
      </c>
      <c r="M523">
        <v>5</v>
      </c>
      <c r="N523">
        <v>4</v>
      </c>
      <c r="O523">
        <v>3</v>
      </c>
      <c r="P523">
        <v>887.08</v>
      </c>
      <c r="Q523">
        <v>42</v>
      </c>
      <c r="S523">
        <f t="shared" si="32"/>
        <v>557.6865165165168</v>
      </c>
      <c r="T523">
        <f t="shared" si="33"/>
        <v>153</v>
      </c>
      <c r="U523">
        <f t="shared" si="34"/>
        <v>1.9139139139139139</v>
      </c>
      <c r="V523">
        <f t="shared" si="35"/>
        <v>557.6865165165168</v>
      </c>
    </row>
    <row r="524" spans="1:22" x14ac:dyDescent="0.25">
      <c r="A524">
        <v>1013</v>
      </c>
      <c r="B524" s="1">
        <v>43964</v>
      </c>
      <c r="C524" t="s">
        <v>60</v>
      </c>
      <c r="D524" t="s">
        <v>18</v>
      </c>
      <c r="E524" t="s">
        <v>28</v>
      </c>
      <c r="F524" t="s">
        <v>33</v>
      </c>
      <c r="G524" t="s">
        <v>78</v>
      </c>
      <c r="H524" t="s">
        <v>47</v>
      </c>
      <c r="I524" t="s">
        <v>23</v>
      </c>
      <c r="J524" t="s">
        <v>30</v>
      </c>
      <c r="K524" t="s">
        <v>25</v>
      </c>
      <c r="L524">
        <v>5</v>
      </c>
      <c r="M524">
        <v>4</v>
      </c>
      <c r="N524">
        <v>3</v>
      </c>
      <c r="O524">
        <v>2</v>
      </c>
      <c r="P524">
        <v>657.85</v>
      </c>
      <c r="Q524">
        <v>46</v>
      </c>
      <c r="S524">
        <f t="shared" si="32"/>
        <v>557.6865165165168</v>
      </c>
      <c r="T524">
        <f t="shared" si="33"/>
        <v>153</v>
      </c>
      <c r="U524">
        <f t="shared" si="34"/>
        <v>1.9139139139139139</v>
      </c>
      <c r="V524">
        <f t="shared" si="35"/>
        <v>557.6865165165168</v>
      </c>
    </row>
    <row r="525" spans="1:22" x14ac:dyDescent="0.25">
      <c r="A525">
        <v>1014</v>
      </c>
      <c r="B525" s="1">
        <v>44926</v>
      </c>
      <c r="C525" t="s">
        <v>43</v>
      </c>
      <c r="D525" t="s">
        <v>18</v>
      </c>
      <c r="E525" t="s">
        <v>28</v>
      </c>
      <c r="F525" t="s">
        <v>27</v>
      </c>
      <c r="G525" t="s">
        <v>78</v>
      </c>
      <c r="H525" t="s">
        <v>68</v>
      </c>
      <c r="I525" t="s">
        <v>23</v>
      </c>
      <c r="J525" t="s">
        <v>30</v>
      </c>
      <c r="K525" t="s">
        <v>25</v>
      </c>
      <c r="L525">
        <v>4</v>
      </c>
      <c r="M525">
        <v>4</v>
      </c>
      <c r="N525">
        <v>1</v>
      </c>
      <c r="O525">
        <v>2</v>
      </c>
      <c r="P525">
        <v>895.49</v>
      </c>
      <c r="Q525">
        <v>69</v>
      </c>
      <c r="S525">
        <f t="shared" si="32"/>
        <v>557.6865165165168</v>
      </c>
      <c r="T525">
        <f t="shared" si="33"/>
        <v>153</v>
      </c>
      <c r="U525">
        <f t="shared" si="34"/>
        <v>1.9139139139139139</v>
      </c>
      <c r="V525">
        <f t="shared" si="35"/>
        <v>557.6865165165168</v>
      </c>
    </row>
    <row r="526" spans="1:22" x14ac:dyDescent="0.25">
      <c r="A526">
        <v>1015</v>
      </c>
      <c r="B526" s="1">
        <v>43437</v>
      </c>
      <c r="C526" t="s">
        <v>49</v>
      </c>
      <c r="D526" t="s">
        <v>18</v>
      </c>
      <c r="E526" t="s">
        <v>19</v>
      </c>
      <c r="F526" t="s">
        <v>27</v>
      </c>
      <c r="G526" t="s">
        <v>78</v>
      </c>
      <c r="H526" t="s">
        <v>70</v>
      </c>
      <c r="I526" t="s">
        <v>23</v>
      </c>
      <c r="J526" t="s">
        <v>24</v>
      </c>
      <c r="K526" t="s">
        <v>25</v>
      </c>
      <c r="L526">
        <v>1</v>
      </c>
      <c r="M526">
        <v>1</v>
      </c>
      <c r="N526">
        <v>3</v>
      </c>
      <c r="O526">
        <v>1</v>
      </c>
      <c r="P526">
        <v>539</v>
      </c>
      <c r="Q526">
        <v>57</v>
      </c>
      <c r="S526">
        <f t="shared" si="32"/>
        <v>557.6865165165168</v>
      </c>
      <c r="T526">
        <f t="shared" si="33"/>
        <v>153</v>
      </c>
      <c r="U526">
        <f t="shared" si="34"/>
        <v>1.9139139139139139</v>
      </c>
      <c r="V526">
        <f t="shared" si="35"/>
        <v>557.6865165165168</v>
      </c>
    </row>
    <row r="527" spans="1:22" x14ac:dyDescent="0.25">
      <c r="A527">
        <v>1016</v>
      </c>
      <c r="B527" s="1">
        <v>43882</v>
      </c>
      <c r="C527" t="s">
        <v>31</v>
      </c>
      <c r="D527" t="s">
        <v>18</v>
      </c>
      <c r="E527" t="s">
        <v>28</v>
      </c>
      <c r="F527" t="s">
        <v>33</v>
      </c>
      <c r="G527" t="s">
        <v>79</v>
      </c>
      <c r="H527" t="s">
        <v>66</v>
      </c>
      <c r="I527" t="s">
        <v>23</v>
      </c>
      <c r="J527" t="s">
        <v>24</v>
      </c>
      <c r="K527" t="s">
        <v>25</v>
      </c>
      <c r="L527">
        <v>2</v>
      </c>
      <c r="M527">
        <v>3</v>
      </c>
      <c r="N527">
        <v>2</v>
      </c>
      <c r="O527">
        <v>2</v>
      </c>
      <c r="P527">
        <v>606.67999999999995</v>
      </c>
      <c r="Q527">
        <v>64</v>
      </c>
      <c r="S527">
        <f t="shared" si="32"/>
        <v>557.6865165165168</v>
      </c>
      <c r="T527">
        <f t="shared" si="33"/>
        <v>153</v>
      </c>
      <c r="U527">
        <f t="shared" si="34"/>
        <v>1.9139139139139139</v>
      </c>
      <c r="V527">
        <f t="shared" si="35"/>
        <v>557.6865165165168</v>
      </c>
    </row>
    <row r="528" spans="1:22" x14ac:dyDescent="0.25">
      <c r="A528">
        <v>1017</v>
      </c>
      <c r="B528" s="1">
        <v>44081</v>
      </c>
      <c r="C528" t="s">
        <v>40</v>
      </c>
      <c r="D528" t="s">
        <v>18</v>
      </c>
      <c r="E528" t="s">
        <v>32</v>
      </c>
      <c r="F528" t="s">
        <v>33</v>
      </c>
      <c r="G528" t="s">
        <v>79</v>
      </c>
      <c r="H528" t="s">
        <v>41</v>
      </c>
      <c r="I528" t="s">
        <v>23</v>
      </c>
      <c r="J528" t="s">
        <v>24</v>
      </c>
      <c r="K528" t="s">
        <v>25</v>
      </c>
      <c r="L528">
        <v>4</v>
      </c>
      <c r="M528">
        <v>1</v>
      </c>
      <c r="N528">
        <v>3</v>
      </c>
      <c r="O528">
        <v>3</v>
      </c>
      <c r="P528">
        <v>265.73</v>
      </c>
      <c r="Q528">
        <v>73</v>
      </c>
      <c r="S528">
        <f t="shared" si="32"/>
        <v>557.6865165165168</v>
      </c>
      <c r="T528">
        <f t="shared" si="33"/>
        <v>153</v>
      </c>
      <c r="U528">
        <f t="shared" si="34"/>
        <v>1.9139139139139139</v>
      </c>
      <c r="V528">
        <f t="shared" si="35"/>
        <v>557.6865165165168</v>
      </c>
    </row>
    <row r="529" spans="1:22" x14ac:dyDescent="0.25">
      <c r="A529">
        <v>1018</v>
      </c>
      <c r="B529" s="1">
        <v>44001</v>
      </c>
      <c r="C529" t="s">
        <v>17</v>
      </c>
      <c r="D529" t="s">
        <v>18</v>
      </c>
      <c r="E529" t="s">
        <v>28</v>
      </c>
      <c r="F529" t="s">
        <v>27</v>
      </c>
      <c r="G529" t="s">
        <v>79</v>
      </c>
      <c r="H529" t="s">
        <v>38</v>
      </c>
      <c r="I529" t="s">
        <v>23</v>
      </c>
      <c r="J529" t="s">
        <v>24</v>
      </c>
      <c r="K529" t="s">
        <v>25</v>
      </c>
      <c r="L529">
        <v>4</v>
      </c>
      <c r="M529">
        <v>1</v>
      </c>
      <c r="N529">
        <v>4</v>
      </c>
      <c r="O529">
        <v>2</v>
      </c>
      <c r="P529">
        <v>673.29</v>
      </c>
      <c r="Q529">
        <v>78</v>
      </c>
      <c r="S529">
        <f t="shared" si="32"/>
        <v>557.6865165165168</v>
      </c>
      <c r="T529">
        <f t="shared" si="33"/>
        <v>153</v>
      </c>
      <c r="U529">
        <f t="shared" si="34"/>
        <v>1.9139139139139139</v>
      </c>
      <c r="V529">
        <f t="shared" si="35"/>
        <v>557.6865165165168</v>
      </c>
    </row>
    <row r="530" spans="1:22" x14ac:dyDescent="0.25">
      <c r="A530">
        <v>1019</v>
      </c>
      <c r="B530" s="1">
        <v>44848</v>
      </c>
      <c r="C530" t="s">
        <v>26</v>
      </c>
      <c r="D530" t="s">
        <v>84</v>
      </c>
      <c r="E530" t="s">
        <v>32</v>
      </c>
      <c r="F530" t="s">
        <v>27</v>
      </c>
      <c r="G530" t="s">
        <v>78</v>
      </c>
      <c r="H530" t="s">
        <v>63</v>
      </c>
      <c r="I530" t="s">
        <v>23</v>
      </c>
      <c r="J530" t="s">
        <v>30</v>
      </c>
      <c r="K530" t="s">
        <v>25</v>
      </c>
      <c r="L530">
        <v>1</v>
      </c>
      <c r="M530">
        <v>3</v>
      </c>
      <c r="N530">
        <v>5</v>
      </c>
      <c r="O530">
        <v>5</v>
      </c>
      <c r="P530">
        <v>436.98</v>
      </c>
      <c r="Q530">
        <v>44</v>
      </c>
      <c r="S530">
        <f t="shared" si="32"/>
        <v>557.6865165165168</v>
      </c>
      <c r="T530">
        <f t="shared" si="33"/>
        <v>153</v>
      </c>
      <c r="U530">
        <f t="shared" si="34"/>
        <v>1.9139139139139139</v>
      </c>
      <c r="V530">
        <f t="shared" si="35"/>
        <v>557.6865165165168</v>
      </c>
    </row>
    <row r="531" spans="1:22" x14ac:dyDescent="0.25">
      <c r="A531">
        <v>1020</v>
      </c>
      <c r="B531" s="1">
        <v>45097</v>
      </c>
      <c r="C531" t="s">
        <v>54</v>
      </c>
      <c r="D531" t="s">
        <v>84</v>
      </c>
      <c r="E531" t="s">
        <v>19</v>
      </c>
      <c r="F531" t="s">
        <v>20</v>
      </c>
      <c r="G531" t="s">
        <v>78</v>
      </c>
      <c r="H531" t="s">
        <v>41</v>
      </c>
      <c r="I531" t="s">
        <v>23</v>
      </c>
      <c r="J531" t="s">
        <v>24</v>
      </c>
      <c r="K531" t="s">
        <v>25</v>
      </c>
      <c r="L531">
        <v>2</v>
      </c>
      <c r="M531">
        <v>1</v>
      </c>
      <c r="N531">
        <v>2</v>
      </c>
      <c r="O531">
        <v>4</v>
      </c>
      <c r="P531">
        <v>578.58000000000004</v>
      </c>
      <c r="Q531">
        <v>33</v>
      </c>
      <c r="S531">
        <f t="shared" si="32"/>
        <v>557.6865165165168</v>
      </c>
      <c r="T531">
        <f t="shared" si="33"/>
        <v>153</v>
      </c>
      <c r="U531">
        <f t="shared" si="34"/>
        <v>1.9139139139139139</v>
      </c>
      <c r="V531">
        <f t="shared" si="35"/>
        <v>557.6865165165168</v>
      </c>
    </row>
    <row r="532" spans="1:22" x14ac:dyDescent="0.25">
      <c r="A532">
        <v>1021</v>
      </c>
      <c r="B532" s="1">
        <v>44144</v>
      </c>
      <c r="C532" t="s">
        <v>37</v>
      </c>
      <c r="D532" t="s">
        <v>84</v>
      </c>
      <c r="E532" t="s">
        <v>32</v>
      </c>
      <c r="F532" t="s">
        <v>20</v>
      </c>
      <c r="G532" t="s">
        <v>78</v>
      </c>
      <c r="H532" t="s">
        <v>44</v>
      </c>
      <c r="I532" t="s">
        <v>23</v>
      </c>
      <c r="J532" t="s">
        <v>30</v>
      </c>
      <c r="K532" t="s">
        <v>25</v>
      </c>
      <c r="L532">
        <v>5</v>
      </c>
      <c r="M532">
        <v>1</v>
      </c>
      <c r="N532">
        <v>4</v>
      </c>
      <c r="O532">
        <v>1</v>
      </c>
      <c r="P532">
        <v>647.16</v>
      </c>
      <c r="Q532">
        <v>31</v>
      </c>
      <c r="S532">
        <f t="shared" si="32"/>
        <v>557.6865165165168</v>
      </c>
      <c r="T532">
        <f t="shared" si="33"/>
        <v>153</v>
      </c>
      <c r="U532">
        <f t="shared" si="34"/>
        <v>1.9139139139139139</v>
      </c>
      <c r="V532">
        <f t="shared" si="35"/>
        <v>557.6865165165168</v>
      </c>
    </row>
    <row r="533" spans="1:22" x14ac:dyDescent="0.25">
      <c r="A533">
        <v>1022</v>
      </c>
      <c r="B533" s="1">
        <v>44823</v>
      </c>
      <c r="C533" t="s">
        <v>60</v>
      </c>
      <c r="D533" t="s">
        <v>18</v>
      </c>
      <c r="E533" t="s">
        <v>28</v>
      </c>
      <c r="F533" t="s">
        <v>27</v>
      </c>
      <c r="G533" t="s">
        <v>78</v>
      </c>
      <c r="H533" t="s">
        <v>41</v>
      </c>
      <c r="I533" t="s">
        <v>23</v>
      </c>
      <c r="J533" t="s">
        <v>30</v>
      </c>
      <c r="K533" t="s">
        <v>25</v>
      </c>
      <c r="L533">
        <v>1</v>
      </c>
      <c r="M533">
        <v>4</v>
      </c>
      <c r="N533">
        <v>4</v>
      </c>
      <c r="O533">
        <v>1</v>
      </c>
      <c r="P533">
        <v>664.23</v>
      </c>
      <c r="Q533">
        <v>60</v>
      </c>
      <c r="S533">
        <f t="shared" si="32"/>
        <v>557.6865165165168</v>
      </c>
      <c r="T533">
        <f t="shared" si="33"/>
        <v>153</v>
      </c>
      <c r="U533">
        <f t="shared" si="34"/>
        <v>1.9139139139139139</v>
      </c>
      <c r="V533">
        <f t="shared" si="35"/>
        <v>557.6865165165168</v>
      </c>
    </row>
    <row r="534" spans="1:22" x14ac:dyDescent="0.25">
      <c r="A534">
        <v>1023</v>
      </c>
      <c r="B534" s="1">
        <v>43413</v>
      </c>
      <c r="C534" t="s">
        <v>43</v>
      </c>
      <c r="D534" t="s">
        <v>18</v>
      </c>
      <c r="E534" t="s">
        <v>19</v>
      </c>
      <c r="F534" t="s">
        <v>20</v>
      </c>
      <c r="G534" t="s">
        <v>78</v>
      </c>
      <c r="H534" t="s">
        <v>38</v>
      </c>
      <c r="I534" t="s">
        <v>23</v>
      </c>
      <c r="J534" t="s">
        <v>30</v>
      </c>
      <c r="K534" t="s">
        <v>25</v>
      </c>
      <c r="L534">
        <v>4</v>
      </c>
      <c r="M534">
        <v>4</v>
      </c>
      <c r="N534">
        <v>3</v>
      </c>
      <c r="O534">
        <v>4</v>
      </c>
      <c r="P534">
        <v>893.07</v>
      </c>
      <c r="Q534">
        <v>26</v>
      </c>
      <c r="S534">
        <f t="shared" si="32"/>
        <v>557.6865165165168</v>
      </c>
      <c r="T534">
        <f t="shared" si="33"/>
        <v>153</v>
      </c>
      <c r="U534">
        <f t="shared" si="34"/>
        <v>1.9139139139139139</v>
      </c>
      <c r="V534">
        <f t="shared" si="35"/>
        <v>557.6865165165168</v>
      </c>
    </row>
    <row r="535" spans="1:22" x14ac:dyDescent="0.25">
      <c r="A535">
        <v>1024</v>
      </c>
      <c r="B535" s="1">
        <v>43464</v>
      </c>
      <c r="C535" t="s">
        <v>49</v>
      </c>
      <c r="D535" t="s">
        <v>18</v>
      </c>
      <c r="E535" t="s">
        <v>19</v>
      </c>
      <c r="F535" t="s">
        <v>27</v>
      </c>
      <c r="G535" t="s">
        <v>78</v>
      </c>
      <c r="H535" t="s">
        <v>63</v>
      </c>
      <c r="I535" t="s">
        <v>23</v>
      </c>
      <c r="J535" t="s">
        <v>24</v>
      </c>
      <c r="K535" t="s">
        <v>25</v>
      </c>
      <c r="L535">
        <v>5</v>
      </c>
      <c r="M535">
        <v>3</v>
      </c>
      <c r="N535">
        <v>1</v>
      </c>
      <c r="O535">
        <v>5</v>
      </c>
      <c r="P535">
        <v>868.98</v>
      </c>
      <c r="Q535">
        <v>31</v>
      </c>
      <c r="S535">
        <f t="shared" si="32"/>
        <v>557.6865165165168</v>
      </c>
      <c r="T535">
        <f t="shared" si="33"/>
        <v>153</v>
      </c>
      <c r="U535">
        <f t="shared" si="34"/>
        <v>1.9139139139139139</v>
      </c>
      <c r="V535">
        <f t="shared" si="35"/>
        <v>557.6865165165168</v>
      </c>
    </row>
    <row r="536" spans="1:22" x14ac:dyDescent="0.25">
      <c r="A536">
        <v>1025</v>
      </c>
      <c r="B536" s="1">
        <v>45057</v>
      </c>
      <c r="C536" t="s">
        <v>31</v>
      </c>
      <c r="D536" t="s">
        <v>18</v>
      </c>
      <c r="E536" t="s">
        <v>32</v>
      </c>
      <c r="F536" t="s">
        <v>27</v>
      </c>
      <c r="G536" t="s">
        <v>79</v>
      </c>
      <c r="H536" t="s">
        <v>41</v>
      </c>
      <c r="I536" t="s">
        <v>23</v>
      </c>
      <c r="J536" t="s">
        <v>24</v>
      </c>
      <c r="K536" t="s">
        <v>25</v>
      </c>
      <c r="L536">
        <v>4</v>
      </c>
      <c r="M536">
        <v>1</v>
      </c>
      <c r="N536">
        <v>4</v>
      </c>
      <c r="O536">
        <v>5</v>
      </c>
      <c r="P536">
        <v>761.95</v>
      </c>
      <c r="Q536">
        <v>63</v>
      </c>
      <c r="S536">
        <f t="shared" si="32"/>
        <v>557.6865165165168</v>
      </c>
      <c r="T536">
        <f t="shared" si="33"/>
        <v>153</v>
      </c>
      <c r="U536">
        <f t="shared" si="34"/>
        <v>1.9139139139139139</v>
      </c>
      <c r="V536">
        <f t="shared" si="35"/>
        <v>557.6865165165168</v>
      </c>
    </row>
    <row r="537" spans="1:22" x14ac:dyDescent="0.25">
      <c r="A537">
        <v>1026</v>
      </c>
      <c r="B537" s="1">
        <v>44868</v>
      </c>
      <c r="C537" t="s">
        <v>40</v>
      </c>
      <c r="D537" t="s">
        <v>18</v>
      </c>
      <c r="E537" t="s">
        <v>19</v>
      </c>
      <c r="F537" t="s">
        <v>27</v>
      </c>
      <c r="G537" t="s">
        <v>79</v>
      </c>
      <c r="H537" t="s">
        <v>47</v>
      </c>
      <c r="I537" t="s">
        <v>23</v>
      </c>
      <c r="J537" t="s">
        <v>24</v>
      </c>
      <c r="K537" t="s">
        <v>25</v>
      </c>
      <c r="L537">
        <v>5</v>
      </c>
      <c r="M537">
        <v>2</v>
      </c>
      <c r="N537">
        <v>5</v>
      </c>
      <c r="O537">
        <v>4</v>
      </c>
      <c r="P537">
        <v>431.57</v>
      </c>
      <c r="Q537">
        <v>72</v>
      </c>
      <c r="S537">
        <f t="shared" si="32"/>
        <v>557.6865165165168</v>
      </c>
      <c r="T537">
        <f t="shared" si="33"/>
        <v>153</v>
      </c>
      <c r="U537">
        <f t="shared" si="34"/>
        <v>1.9139139139139139</v>
      </c>
      <c r="V537">
        <f t="shared" si="35"/>
        <v>557.6865165165168</v>
      </c>
    </row>
    <row r="538" spans="1:22" x14ac:dyDescent="0.25">
      <c r="A538">
        <v>1027</v>
      </c>
      <c r="B538" s="1">
        <v>43996</v>
      </c>
      <c r="C538" t="s">
        <v>17</v>
      </c>
      <c r="D538" t="s">
        <v>18</v>
      </c>
      <c r="E538" t="s">
        <v>28</v>
      </c>
      <c r="F538" t="s">
        <v>27</v>
      </c>
      <c r="G538" t="s">
        <v>79</v>
      </c>
      <c r="H538" t="s">
        <v>38</v>
      </c>
      <c r="I538" t="s">
        <v>23</v>
      </c>
      <c r="J538" t="s">
        <v>30</v>
      </c>
      <c r="K538" t="s">
        <v>25</v>
      </c>
      <c r="L538">
        <v>2</v>
      </c>
      <c r="M538">
        <v>3</v>
      </c>
      <c r="N538">
        <v>5</v>
      </c>
      <c r="O538">
        <v>4</v>
      </c>
      <c r="P538">
        <v>357.57</v>
      </c>
      <c r="Q538">
        <v>58</v>
      </c>
      <c r="S538">
        <f t="shared" si="32"/>
        <v>557.6865165165168</v>
      </c>
      <c r="T538">
        <f t="shared" si="33"/>
        <v>153</v>
      </c>
      <c r="U538">
        <f t="shared" si="34"/>
        <v>1.9139139139139139</v>
      </c>
      <c r="V538">
        <f t="shared" si="35"/>
        <v>557.6865165165168</v>
      </c>
    </row>
    <row r="539" spans="1:22" x14ac:dyDescent="0.25">
      <c r="A539">
        <v>1028</v>
      </c>
      <c r="B539" s="1">
        <v>43753</v>
      </c>
      <c r="C539" t="s">
        <v>60</v>
      </c>
      <c r="D539" t="s">
        <v>84</v>
      </c>
      <c r="E539" t="s">
        <v>32</v>
      </c>
      <c r="F539" t="s">
        <v>20</v>
      </c>
      <c r="G539" t="s">
        <v>78</v>
      </c>
      <c r="H539" t="s">
        <v>38</v>
      </c>
      <c r="I539" t="s">
        <v>23</v>
      </c>
      <c r="J539" t="s">
        <v>30</v>
      </c>
      <c r="K539" t="s">
        <v>25</v>
      </c>
      <c r="L539">
        <v>5</v>
      </c>
      <c r="M539">
        <v>5</v>
      </c>
      <c r="N539">
        <v>4</v>
      </c>
      <c r="O539">
        <v>3</v>
      </c>
      <c r="P539">
        <v>804.06</v>
      </c>
      <c r="Q539">
        <v>19</v>
      </c>
      <c r="S539">
        <f t="shared" si="32"/>
        <v>557.6865165165168</v>
      </c>
      <c r="T539">
        <f t="shared" si="33"/>
        <v>153</v>
      </c>
      <c r="U539">
        <f t="shared" si="34"/>
        <v>1.9139139139139139</v>
      </c>
      <c r="V539">
        <f t="shared" si="35"/>
        <v>557.6865165165168</v>
      </c>
    </row>
    <row r="540" spans="1:22" x14ac:dyDescent="0.25">
      <c r="A540">
        <v>1029</v>
      </c>
      <c r="B540" s="1">
        <v>43949</v>
      </c>
      <c r="C540" t="s">
        <v>52</v>
      </c>
      <c r="D540" t="s">
        <v>18</v>
      </c>
      <c r="E540" t="s">
        <v>28</v>
      </c>
      <c r="F540" t="s">
        <v>33</v>
      </c>
      <c r="G540" t="s">
        <v>78</v>
      </c>
      <c r="H540" t="s">
        <v>41</v>
      </c>
      <c r="I540" t="s">
        <v>23</v>
      </c>
      <c r="J540" t="s">
        <v>24</v>
      </c>
      <c r="K540" t="s">
        <v>25</v>
      </c>
      <c r="L540">
        <v>3</v>
      </c>
      <c r="M540">
        <v>5</v>
      </c>
      <c r="N540">
        <v>4</v>
      </c>
      <c r="O540">
        <v>5</v>
      </c>
      <c r="P540">
        <v>729.41</v>
      </c>
      <c r="Q540">
        <v>41</v>
      </c>
      <c r="S540">
        <f t="shared" si="32"/>
        <v>557.6865165165168</v>
      </c>
      <c r="T540">
        <f t="shared" si="33"/>
        <v>153</v>
      </c>
      <c r="U540">
        <f t="shared" si="34"/>
        <v>1.9139139139139139</v>
      </c>
      <c r="V540">
        <f t="shared" si="35"/>
        <v>557.6865165165168</v>
      </c>
    </row>
    <row r="541" spans="1:22" x14ac:dyDescent="0.25">
      <c r="A541">
        <v>1030</v>
      </c>
      <c r="B541" s="1">
        <v>43767</v>
      </c>
      <c r="C541" t="s">
        <v>37</v>
      </c>
      <c r="D541" t="s">
        <v>18</v>
      </c>
      <c r="E541" t="s">
        <v>19</v>
      </c>
      <c r="F541" t="s">
        <v>20</v>
      </c>
      <c r="G541" t="s">
        <v>78</v>
      </c>
      <c r="H541" t="s">
        <v>41</v>
      </c>
      <c r="I541" t="s">
        <v>23</v>
      </c>
      <c r="J541" t="s">
        <v>30</v>
      </c>
      <c r="K541" t="s">
        <v>25</v>
      </c>
      <c r="L541">
        <v>4</v>
      </c>
      <c r="M541">
        <v>4</v>
      </c>
      <c r="N541">
        <v>1</v>
      </c>
      <c r="O541">
        <v>1</v>
      </c>
      <c r="P541">
        <v>169.46</v>
      </c>
      <c r="Q541">
        <v>64</v>
      </c>
      <c r="S541">
        <f t="shared" si="32"/>
        <v>557.6865165165168</v>
      </c>
      <c r="T541">
        <f t="shared" si="33"/>
        <v>153</v>
      </c>
      <c r="U541">
        <f t="shared" si="34"/>
        <v>1.9139139139139139</v>
      </c>
      <c r="V541">
        <f t="shared" si="35"/>
        <v>557.6865165165168</v>
      </c>
    </row>
    <row r="542" spans="1:22" x14ac:dyDescent="0.25">
      <c r="A542">
        <v>1031</v>
      </c>
      <c r="B542" s="1">
        <v>44314</v>
      </c>
      <c r="C542" t="s">
        <v>43</v>
      </c>
      <c r="D542" t="s">
        <v>18</v>
      </c>
      <c r="E542" t="s">
        <v>28</v>
      </c>
      <c r="F542" t="s">
        <v>33</v>
      </c>
      <c r="G542" t="s">
        <v>78</v>
      </c>
      <c r="H542" t="s">
        <v>38</v>
      </c>
      <c r="I542" t="s">
        <v>23</v>
      </c>
      <c r="J542" t="s">
        <v>30</v>
      </c>
      <c r="K542" t="s">
        <v>25</v>
      </c>
      <c r="L542">
        <v>5</v>
      </c>
      <c r="M542">
        <v>3</v>
      </c>
      <c r="N542">
        <v>2</v>
      </c>
      <c r="O542">
        <v>1</v>
      </c>
      <c r="P542">
        <v>833.28</v>
      </c>
      <c r="Q542">
        <v>49</v>
      </c>
      <c r="S542">
        <f t="shared" si="32"/>
        <v>557.6865165165168</v>
      </c>
      <c r="T542">
        <f t="shared" si="33"/>
        <v>153</v>
      </c>
      <c r="U542">
        <f t="shared" si="34"/>
        <v>1.9139139139139139</v>
      </c>
      <c r="V542">
        <f t="shared" si="35"/>
        <v>557.6865165165168</v>
      </c>
    </row>
    <row r="543" spans="1:22" x14ac:dyDescent="0.25">
      <c r="A543">
        <v>1032</v>
      </c>
      <c r="B543" s="1">
        <v>44670</v>
      </c>
      <c r="C543" t="s">
        <v>60</v>
      </c>
      <c r="D543" t="s">
        <v>18</v>
      </c>
      <c r="E543" t="s">
        <v>32</v>
      </c>
      <c r="F543" t="s">
        <v>20</v>
      </c>
      <c r="G543" t="s">
        <v>78</v>
      </c>
      <c r="H543" t="s">
        <v>29</v>
      </c>
      <c r="I543" t="s">
        <v>23</v>
      </c>
      <c r="J543" t="s">
        <v>30</v>
      </c>
      <c r="K543" t="s">
        <v>25</v>
      </c>
      <c r="L543">
        <v>5</v>
      </c>
      <c r="M543">
        <v>4</v>
      </c>
      <c r="N543">
        <v>4</v>
      </c>
      <c r="O543">
        <v>3</v>
      </c>
      <c r="P543">
        <v>482.23</v>
      </c>
      <c r="Q543">
        <v>68</v>
      </c>
      <c r="S543">
        <f t="shared" si="32"/>
        <v>557.6865165165168</v>
      </c>
      <c r="T543">
        <f t="shared" si="33"/>
        <v>153</v>
      </c>
      <c r="U543">
        <f t="shared" si="34"/>
        <v>1.9139139139139139</v>
      </c>
      <c r="V543">
        <f t="shared" si="35"/>
        <v>557.6865165165168</v>
      </c>
    </row>
    <row r="544" spans="1:22" x14ac:dyDescent="0.25">
      <c r="A544">
        <v>1033</v>
      </c>
      <c r="B544" s="1">
        <v>45013</v>
      </c>
      <c r="C544" t="s">
        <v>43</v>
      </c>
      <c r="D544" t="s">
        <v>18</v>
      </c>
      <c r="E544" t="s">
        <v>19</v>
      </c>
      <c r="F544" t="s">
        <v>33</v>
      </c>
      <c r="G544" t="s">
        <v>78</v>
      </c>
      <c r="H544" t="s">
        <v>41</v>
      </c>
      <c r="I544" t="s">
        <v>23</v>
      </c>
      <c r="J544" t="s">
        <v>30</v>
      </c>
      <c r="K544" t="s">
        <v>25</v>
      </c>
      <c r="L544">
        <v>3</v>
      </c>
      <c r="M544">
        <v>1</v>
      </c>
      <c r="N544">
        <v>3</v>
      </c>
      <c r="O544">
        <v>4</v>
      </c>
      <c r="P544">
        <v>169.85</v>
      </c>
      <c r="Q544">
        <v>26</v>
      </c>
      <c r="S544">
        <f t="shared" si="32"/>
        <v>557.6865165165168</v>
      </c>
      <c r="T544">
        <f t="shared" si="33"/>
        <v>153</v>
      </c>
      <c r="U544">
        <f t="shared" si="34"/>
        <v>1.9139139139139139</v>
      </c>
      <c r="V544">
        <f t="shared" si="35"/>
        <v>557.6865165165168</v>
      </c>
    </row>
    <row r="545" spans="1:22" x14ac:dyDescent="0.25">
      <c r="A545">
        <v>1034</v>
      </c>
      <c r="B545" s="1">
        <v>43591</v>
      </c>
      <c r="C545" t="s">
        <v>49</v>
      </c>
      <c r="D545" t="s">
        <v>18</v>
      </c>
      <c r="E545" t="s">
        <v>32</v>
      </c>
      <c r="F545" t="s">
        <v>20</v>
      </c>
      <c r="G545" t="s">
        <v>78</v>
      </c>
      <c r="H545" t="s">
        <v>62</v>
      </c>
      <c r="I545" t="s">
        <v>23</v>
      </c>
      <c r="J545" t="s">
        <v>24</v>
      </c>
      <c r="K545" t="s">
        <v>25</v>
      </c>
      <c r="L545">
        <v>2</v>
      </c>
      <c r="M545">
        <v>5</v>
      </c>
      <c r="N545">
        <v>1</v>
      </c>
      <c r="O545">
        <v>1</v>
      </c>
      <c r="P545">
        <v>570.62</v>
      </c>
      <c r="Q545">
        <v>42</v>
      </c>
      <c r="S545">
        <f t="shared" si="32"/>
        <v>557.6865165165168</v>
      </c>
      <c r="T545">
        <f t="shared" si="33"/>
        <v>153</v>
      </c>
      <c r="U545">
        <f t="shared" si="34"/>
        <v>1.9139139139139139</v>
      </c>
      <c r="V545">
        <f t="shared" si="35"/>
        <v>557.6865165165168</v>
      </c>
    </row>
    <row r="546" spans="1:22" x14ac:dyDescent="0.25">
      <c r="A546">
        <v>1035</v>
      </c>
      <c r="B546" s="1">
        <v>44117</v>
      </c>
      <c r="C546" t="s">
        <v>31</v>
      </c>
      <c r="D546" t="s">
        <v>18</v>
      </c>
      <c r="E546" t="s">
        <v>32</v>
      </c>
      <c r="F546" t="s">
        <v>27</v>
      </c>
      <c r="G546" t="s">
        <v>79</v>
      </c>
      <c r="H546" t="s">
        <v>75</v>
      </c>
      <c r="I546" t="s">
        <v>23</v>
      </c>
      <c r="J546" t="s">
        <v>24</v>
      </c>
      <c r="K546" t="s">
        <v>25</v>
      </c>
      <c r="L546">
        <v>1</v>
      </c>
      <c r="M546">
        <v>5</v>
      </c>
      <c r="N546">
        <v>5</v>
      </c>
      <c r="O546">
        <v>2</v>
      </c>
      <c r="P546">
        <v>724.14</v>
      </c>
      <c r="Q546">
        <v>41</v>
      </c>
      <c r="S546">
        <f t="shared" si="32"/>
        <v>557.6865165165168</v>
      </c>
      <c r="T546">
        <f t="shared" si="33"/>
        <v>153</v>
      </c>
      <c r="U546">
        <f t="shared" si="34"/>
        <v>1.9139139139139139</v>
      </c>
      <c r="V546">
        <f t="shared" si="35"/>
        <v>557.6865165165168</v>
      </c>
    </row>
    <row r="547" spans="1:22" x14ac:dyDescent="0.25">
      <c r="A547">
        <v>1036</v>
      </c>
      <c r="B547" s="1">
        <v>44383</v>
      </c>
      <c r="C547" t="s">
        <v>40</v>
      </c>
      <c r="D547" t="s">
        <v>18</v>
      </c>
      <c r="E547" t="s">
        <v>28</v>
      </c>
      <c r="F547" t="s">
        <v>27</v>
      </c>
      <c r="G547" t="s">
        <v>79</v>
      </c>
      <c r="H547" t="s">
        <v>41</v>
      </c>
      <c r="I547" t="s">
        <v>23</v>
      </c>
      <c r="J547" t="s">
        <v>30</v>
      </c>
      <c r="K547" t="s">
        <v>25</v>
      </c>
      <c r="L547">
        <v>5</v>
      </c>
      <c r="M547">
        <v>2</v>
      </c>
      <c r="N547">
        <v>1</v>
      </c>
      <c r="O547">
        <v>3</v>
      </c>
      <c r="P547">
        <v>305.98</v>
      </c>
      <c r="Q547">
        <v>28</v>
      </c>
      <c r="S547">
        <f t="shared" si="32"/>
        <v>557.6865165165168</v>
      </c>
      <c r="T547">
        <f t="shared" si="33"/>
        <v>153</v>
      </c>
      <c r="U547">
        <f t="shared" si="34"/>
        <v>1.9139139139139139</v>
      </c>
      <c r="V547">
        <f t="shared" si="35"/>
        <v>557.6865165165168</v>
      </c>
    </row>
    <row r="548" spans="1:22" x14ac:dyDescent="0.25">
      <c r="A548">
        <v>1037</v>
      </c>
      <c r="B548" s="1">
        <v>44098</v>
      </c>
      <c r="C548" t="s">
        <v>17</v>
      </c>
      <c r="D548" t="s">
        <v>84</v>
      </c>
      <c r="E548" t="s">
        <v>28</v>
      </c>
      <c r="F548" t="s">
        <v>20</v>
      </c>
      <c r="G548" t="s">
        <v>78</v>
      </c>
      <c r="H548" t="s">
        <v>63</v>
      </c>
      <c r="I548" t="s">
        <v>23</v>
      </c>
      <c r="J548" t="s">
        <v>30</v>
      </c>
      <c r="K548" t="s">
        <v>25</v>
      </c>
      <c r="L548">
        <v>5</v>
      </c>
      <c r="M548">
        <v>1</v>
      </c>
      <c r="N548">
        <v>4</v>
      </c>
      <c r="O548">
        <v>2</v>
      </c>
      <c r="P548">
        <v>646.76</v>
      </c>
      <c r="Q548">
        <v>27</v>
      </c>
      <c r="S548">
        <f t="shared" si="32"/>
        <v>557.6865165165168</v>
      </c>
      <c r="T548">
        <f t="shared" si="33"/>
        <v>153</v>
      </c>
      <c r="U548">
        <f t="shared" si="34"/>
        <v>1.9139139139139139</v>
      </c>
      <c r="V548">
        <f t="shared" si="35"/>
        <v>557.6865165165168</v>
      </c>
    </row>
    <row r="549" spans="1:22" x14ac:dyDescent="0.25">
      <c r="A549">
        <v>1038</v>
      </c>
      <c r="B549" s="1">
        <v>44944</v>
      </c>
      <c r="C549" t="s">
        <v>52</v>
      </c>
      <c r="D549" t="s">
        <v>18</v>
      </c>
      <c r="E549" t="s">
        <v>19</v>
      </c>
      <c r="F549" t="s">
        <v>33</v>
      </c>
      <c r="G549" t="s">
        <v>78</v>
      </c>
      <c r="H549" t="s">
        <v>41</v>
      </c>
      <c r="I549" t="s">
        <v>23</v>
      </c>
      <c r="J549" t="s">
        <v>30</v>
      </c>
      <c r="K549" t="s">
        <v>25</v>
      </c>
      <c r="L549">
        <v>5</v>
      </c>
      <c r="M549">
        <v>1</v>
      </c>
      <c r="N549">
        <v>2</v>
      </c>
      <c r="O549">
        <v>2</v>
      </c>
      <c r="P549">
        <v>516.89</v>
      </c>
      <c r="Q549">
        <v>52</v>
      </c>
      <c r="S549">
        <f t="shared" si="32"/>
        <v>557.6865165165168</v>
      </c>
      <c r="T549">
        <f t="shared" si="33"/>
        <v>153</v>
      </c>
      <c r="U549">
        <f t="shared" si="34"/>
        <v>1.9139139139139139</v>
      </c>
      <c r="V549">
        <f t="shared" si="35"/>
        <v>557.6865165165168</v>
      </c>
    </row>
    <row r="550" spans="1:22" x14ac:dyDescent="0.25">
      <c r="A550">
        <v>1039</v>
      </c>
      <c r="B550" s="1">
        <v>43699</v>
      </c>
      <c r="C550" t="s">
        <v>26</v>
      </c>
      <c r="D550" t="s">
        <v>84</v>
      </c>
      <c r="E550" t="s">
        <v>28</v>
      </c>
      <c r="F550" t="s">
        <v>33</v>
      </c>
      <c r="G550" t="s">
        <v>78</v>
      </c>
      <c r="H550" t="s">
        <v>22</v>
      </c>
      <c r="I550" t="s">
        <v>23</v>
      </c>
      <c r="J550" t="s">
        <v>24</v>
      </c>
      <c r="K550" t="s">
        <v>25</v>
      </c>
      <c r="L550">
        <v>2</v>
      </c>
      <c r="M550">
        <v>4</v>
      </c>
      <c r="N550">
        <v>5</v>
      </c>
      <c r="O550">
        <v>5</v>
      </c>
      <c r="P550">
        <v>520.41</v>
      </c>
      <c r="Q550">
        <v>37</v>
      </c>
      <c r="S550">
        <f t="shared" si="32"/>
        <v>557.6865165165168</v>
      </c>
      <c r="T550">
        <f t="shared" si="33"/>
        <v>153</v>
      </c>
      <c r="U550">
        <f t="shared" si="34"/>
        <v>1.9139139139139139</v>
      </c>
      <c r="V550">
        <f t="shared" si="35"/>
        <v>557.6865165165168</v>
      </c>
    </row>
    <row r="551" spans="1:22" x14ac:dyDescent="0.25">
      <c r="A551">
        <v>1040</v>
      </c>
      <c r="B551" s="1">
        <v>43671</v>
      </c>
      <c r="C551" t="s">
        <v>54</v>
      </c>
      <c r="D551" t="s">
        <v>84</v>
      </c>
      <c r="E551" t="s">
        <v>19</v>
      </c>
      <c r="F551" t="s">
        <v>27</v>
      </c>
      <c r="G551" t="s">
        <v>78</v>
      </c>
      <c r="H551" t="s">
        <v>41</v>
      </c>
      <c r="I551" t="s">
        <v>23</v>
      </c>
      <c r="J551" t="s">
        <v>30</v>
      </c>
      <c r="K551" t="s">
        <v>25</v>
      </c>
      <c r="L551">
        <v>5</v>
      </c>
      <c r="M551">
        <v>3</v>
      </c>
      <c r="N551">
        <v>1</v>
      </c>
      <c r="O551">
        <v>5</v>
      </c>
      <c r="P551">
        <v>712.84</v>
      </c>
      <c r="Q551">
        <v>47</v>
      </c>
      <c r="S551">
        <f t="shared" si="32"/>
        <v>557.6865165165168</v>
      </c>
      <c r="T551">
        <f t="shared" si="33"/>
        <v>153</v>
      </c>
      <c r="U551">
        <f t="shared" si="34"/>
        <v>1.9139139139139139</v>
      </c>
      <c r="V551">
        <f t="shared" si="35"/>
        <v>557.6865165165168</v>
      </c>
    </row>
    <row r="552" spans="1:22" x14ac:dyDescent="0.25">
      <c r="A552">
        <v>1041</v>
      </c>
      <c r="B552" s="1">
        <v>43780</v>
      </c>
      <c r="C552" t="s">
        <v>37</v>
      </c>
      <c r="D552" t="s">
        <v>84</v>
      </c>
      <c r="E552" t="s">
        <v>32</v>
      </c>
      <c r="F552" t="s">
        <v>27</v>
      </c>
      <c r="G552" t="s">
        <v>78</v>
      </c>
      <c r="H552" t="s">
        <v>47</v>
      </c>
      <c r="I552" t="s">
        <v>23</v>
      </c>
      <c r="J552" t="s">
        <v>30</v>
      </c>
      <c r="K552" t="s">
        <v>25</v>
      </c>
      <c r="L552">
        <v>3</v>
      </c>
      <c r="M552">
        <v>1</v>
      </c>
      <c r="N552">
        <v>4</v>
      </c>
      <c r="O552">
        <v>3</v>
      </c>
      <c r="P552">
        <v>871.12</v>
      </c>
      <c r="Q552">
        <v>43</v>
      </c>
      <c r="S552">
        <f t="shared" si="32"/>
        <v>557.6865165165168</v>
      </c>
      <c r="T552">
        <f t="shared" si="33"/>
        <v>153</v>
      </c>
      <c r="U552">
        <f t="shared" si="34"/>
        <v>1.9139139139139139</v>
      </c>
      <c r="V552">
        <f t="shared" si="35"/>
        <v>557.6865165165168</v>
      </c>
    </row>
    <row r="553" spans="1:22" x14ac:dyDescent="0.25">
      <c r="A553">
        <v>1042</v>
      </c>
      <c r="B553" s="1">
        <v>44758</v>
      </c>
      <c r="C553" t="s">
        <v>60</v>
      </c>
      <c r="D553" t="s">
        <v>18</v>
      </c>
      <c r="E553" t="s">
        <v>19</v>
      </c>
      <c r="F553" t="s">
        <v>33</v>
      </c>
      <c r="G553" t="s">
        <v>78</v>
      </c>
      <c r="H553" t="s">
        <v>41</v>
      </c>
      <c r="I553" t="s">
        <v>23</v>
      </c>
      <c r="J553" t="s">
        <v>30</v>
      </c>
      <c r="K553" t="s">
        <v>25</v>
      </c>
      <c r="L553">
        <v>1</v>
      </c>
      <c r="M553">
        <v>3</v>
      </c>
      <c r="N553">
        <v>4</v>
      </c>
      <c r="O553">
        <v>1</v>
      </c>
      <c r="P553">
        <v>228.11</v>
      </c>
      <c r="Q553">
        <v>80</v>
      </c>
      <c r="S553">
        <f t="shared" si="32"/>
        <v>557.6865165165168</v>
      </c>
      <c r="T553">
        <f t="shared" si="33"/>
        <v>153</v>
      </c>
      <c r="U553">
        <f t="shared" si="34"/>
        <v>1.9139139139139139</v>
      </c>
      <c r="V553">
        <f t="shared" si="35"/>
        <v>557.6865165165168</v>
      </c>
    </row>
    <row r="554" spans="1:22" x14ac:dyDescent="0.25">
      <c r="A554">
        <v>1043</v>
      </c>
      <c r="B554" s="1">
        <v>44914</v>
      </c>
      <c r="C554" t="s">
        <v>43</v>
      </c>
      <c r="D554" t="s">
        <v>18</v>
      </c>
      <c r="E554" t="s">
        <v>32</v>
      </c>
      <c r="F554" t="s">
        <v>20</v>
      </c>
      <c r="G554" t="s">
        <v>78</v>
      </c>
      <c r="H554" t="s">
        <v>56</v>
      </c>
      <c r="I554" t="s">
        <v>23</v>
      </c>
      <c r="J554" t="s">
        <v>24</v>
      </c>
      <c r="K554" t="s">
        <v>25</v>
      </c>
      <c r="L554">
        <v>1</v>
      </c>
      <c r="M554">
        <v>1</v>
      </c>
      <c r="N554">
        <v>3</v>
      </c>
      <c r="O554">
        <v>2</v>
      </c>
      <c r="P554">
        <v>289.93</v>
      </c>
      <c r="Q554">
        <v>67</v>
      </c>
      <c r="S554">
        <f t="shared" si="32"/>
        <v>557.6865165165168</v>
      </c>
      <c r="T554">
        <f t="shared" si="33"/>
        <v>153</v>
      </c>
      <c r="U554">
        <f t="shared" si="34"/>
        <v>1.9139139139139139</v>
      </c>
      <c r="V554">
        <f t="shared" si="35"/>
        <v>557.6865165165168</v>
      </c>
    </row>
    <row r="555" spans="1:22" x14ac:dyDescent="0.25">
      <c r="A555">
        <v>1044</v>
      </c>
      <c r="B555" s="1">
        <v>44089</v>
      </c>
      <c r="C555" t="s">
        <v>49</v>
      </c>
      <c r="D555" t="s">
        <v>18</v>
      </c>
      <c r="E555" t="s">
        <v>19</v>
      </c>
      <c r="F555" t="s">
        <v>27</v>
      </c>
      <c r="G555" t="s">
        <v>78</v>
      </c>
      <c r="H555" t="s">
        <v>41</v>
      </c>
      <c r="I555" t="s">
        <v>23</v>
      </c>
      <c r="J555" t="s">
        <v>24</v>
      </c>
      <c r="K555" t="s">
        <v>25</v>
      </c>
      <c r="L555">
        <v>2</v>
      </c>
      <c r="M555">
        <v>4</v>
      </c>
      <c r="N555">
        <v>5</v>
      </c>
      <c r="O555">
        <v>4</v>
      </c>
      <c r="P555">
        <v>920.78</v>
      </c>
      <c r="Q555">
        <v>64</v>
      </c>
      <c r="S555">
        <f t="shared" si="32"/>
        <v>557.6865165165168</v>
      </c>
      <c r="T555">
        <f t="shared" si="33"/>
        <v>153</v>
      </c>
      <c r="U555">
        <f t="shared" si="34"/>
        <v>1.9139139139139139</v>
      </c>
      <c r="V555">
        <f t="shared" si="35"/>
        <v>557.6865165165168</v>
      </c>
    </row>
    <row r="556" spans="1:22" x14ac:dyDescent="0.25">
      <c r="A556">
        <v>1045</v>
      </c>
      <c r="B556" s="1">
        <v>44108</v>
      </c>
      <c r="C556" t="s">
        <v>31</v>
      </c>
      <c r="D556" t="s">
        <v>18</v>
      </c>
      <c r="E556" t="s">
        <v>32</v>
      </c>
      <c r="F556" t="s">
        <v>20</v>
      </c>
      <c r="G556" t="s">
        <v>79</v>
      </c>
      <c r="H556" t="s">
        <v>68</v>
      </c>
      <c r="I556" t="s">
        <v>23</v>
      </c>
      <c r="J556" t="s">
        <v>24</v>
      </c>
      <c r="K556" t="s">
        <v>25</v>
      </c>
      <c r="L556">
        <v>1</v>
      </c>
      <c r="M556">
        <v>4</v>
      </c>
      <c r="N556">
        <v>1</v>
      </c>
      <c r="O556">
        <v>2</v>
      </c>
      <c r="P556">
        <v>690.41</v>
      </c>
      <c r="Q556">
        <v>57</v>
      </c>
      <c r="S556">
        <f t="shared" si="32"/>
        <v>557.6865165165168</v>
      </c>
      <c r="T556">
        <f t="shared" si="33"/>
        <v>153</v>
      </c>
      <c r="U556">
        <f t="shared" si="34"/>
        <v>1.9139139139139139</v>
      </c>
      <c r="V556">
        <f t="shared" si="35"/>
        <v>557.6865165165168</v>
      </c>
    </row>
    <row r="557" spans="1:22" x14ac:dyDescent="0.25">
      <c r="A557">
        <v>1046</v>
      </c>
      <c r="B557" s="1">
        <v>44674</v>
      </c>
      <c r="C557" t="s">
        <v>17</v>
      </c>
      <c r="D557" t="s">
        <v>84</v>
      </c>
      <c r="E557" t="s">
        <v>32</v>
      </c>
      <c r="F557" t="s">
        <v>27</v>
      </c>
      <c r="G557" t="s">
        <v>78</v>
      </c>
      <c r="H557" t="s">
        <v>75</v>
      </c>
      <c r="I557" t="s">
        <v>23</v>
      </c>
      <c r="J557" t="s">
        <v>30</v>
      </c>
      <c r="K557" t="s">
        <v>25</v>
      </c>
      <c r="L557">
        <v>3</v>
      </c>
      <c r="M557">
        <v>5</v>
      </c>
      <c r="N557">
        <v>4</v>
      </c>
      <c r="O557">
        <v>2</v>
      </c>
      <c r="P557">
        <v>211.39</v>
      </c>
      <c r="Q557">
        <v>60</v>
      </c>
      <c r="S557">
        <f t="shared" si="32"/>
        <v>557.6865165165168</v>
      </c>
      <c r="T557">
        <f t="shared" si="33"/>
        <v>153</v>
      </c>
      <c r="U557">
        <f t="shared" si="34"/>
        <v>1.9139139139139139</v>
      </c>
      <c r="V557">
        <f t="shared" si="35"/>
        <v>557.6865165165168</v>
      </c>
    </row>
    <row r="558" spans="1:22" x14ac:dyDescent="0.25">
      <c r="A558">
        <v>1047</v>
      </c>
      <c r="B558" s="1">
        <v>44527</v>
      </c>
      <c r="C558" t="s">
        <v>52</v>
      </c>
      <c r="D558" t="s">
        <v>18</v>
      </c>
      <c r="E558" t="s">
        <v>19</v>
      </c>
      <c r="F558" t="s">
        <v>27</v>
      </c>
      <c r="G558" t="s">
        <v>78</v>
      </c>
      <c r="H558" t="s">
        <v>41</v>
      </c>
      <c r="I558" t="s">
        <v>23</v>
      </c>
      <c r="J558" t="s">
        <v>24</v>
      </c>
      <c r="K558" t="s">
        <v>25</v>
      </c>
      <c r="L558">
        <v>4</v>
      </c>
      <c r="M558">
        <v>2</v>
      </c>
      <c r="N558">
        <v>3</v>
      </c>
      <c r="O558">
        <v>2</v>
      </c>
      <c r="P558">
        <v>606.63</v>
      </c>
      <c r="Q558">
        <v>74</v>
      </c>
      <c r="S558">
        <f t="shared" si="32"/>
        <v>557.6865165165168</v>
      </c>
      <c r="T558">
        <f t="shared" si="33"/>
        <v>153</v>
      </c>
      <c r="U558">
        <f t="shared" si="34"/>
        <v>1.9139139139139139</v>
      </c>
      <c r="V558">
        <f t="shared" si="35"/>
        <v>557.6865165165168</v>
      </c>
    </row>
    <row r="559" spans="1:22" x14ac:dyDescent="0.25">
      <c r="A559">
        <v>1048</v>
      </c>
      <c r="B559" s="1">
        <v>43798</v>
      </c>
      <c r="C559" t="s">
        <v>26</v>
      </c>
      <c r="D559" t="s">
        <v>18</v>
      </c>
      <c r="E559" t="s">
        <v>28</v>
      </c>
      <c r="F559" t="s">
        <v>27</v>
      </c>
      <c r="G559" t="s">
        <v>78</v>
      </c>
      <c r="H559" t="s">
        <v>38</v>
      </c>
      <c r="I559" t="s">
        <v>23</v>
      </c>
      <c r="J559" t="s">
        <v>30</v>
      </c>
      <c r="K559" t="s">
        <v>25</v>
      </c>
      <c r="L559">
        <v>3</v>
      </c>
      <c r="M559">
        <v>1</v>
      </c>
      <c r="N559">
        <v>4</v>
      </c>
      <c r="O559">
        <v>5</v>
      </c>
      <c r="P559">
        <v>503.99</v>
      </c>
      <c r="Q559">
        <v>63</v>
      </c>
      <c r="S559">
        <f t="shared" si="32"/>
        <v>557.6865165165168</v>
      </c>
      <c r="T559">
        <f t="shared" si="33"/>
        <v>153</v>
      </c>
      <c r="U559">
        <f t="shared" si="34"/>
        <v>1.9139139139139139</v>
      </c>
      <c r="V559">
        <f t="shared" si="35"/>
        <v>557.6865165165168</v>
      </c>
    </row>
    <row r="560" spans="1:22" x14ac:dyDescent="0.25">
      <c r="A560">
        <v>1049</v>
      </c>
      <c r="B560" s="1">
        <v>43615</v>
      </c>
      <c r="C560" t="s">
        <v>54</v>
      </c>
      <c r="D560" t="s">
        <v>84</v>
      </c>
      <c r="E560" t="s">
        <v>28</v>
      </c>
      <c r="F560" t="s">
        <v>33</v>
      </c>
      <c r="G560" t="s">
        <v>78</v>
      </c>
      <c r="H560" t="s">
        <v>41</v>
      </c>
      <c r="I560" t="s">
        <v>23</v>
      </c>
      <c r="J560" t="s">
        <v>30</v>
      </c>
      <c r="K560" t="s">
        <v>25</v>
      </c>
      <c r="L560">
        <v>3</v>
      </c>
      <c r="M560">
        <v>5</v>
      </c>
      <c r="N560">
        <v>2</v>
      </c>
      <c r="O560">
        <v>2</v>
      </c>
      <c r="P560">
        <v>518.54</v>
      </c>
      <c r="Q560">
        <v>65</v>
      </c>
      <c r="S560">
        <f t="shared" si="32"/>
        <v>557.6865165165168</v>
      </c>
      <c r="T560">
        <f t="shared" si="33"/>
        <v>153</v>
      </c>
      <c r="U560">
        <f t="shared" si="34"/>
        <v>1.9139139139139139</v>
      </c>
      <c r="V560">
        <f t="shared" si="35"/>
        <v>557.6865165165168</v>
      </c>
    </row>
    <row r="561" spans="1:22" x14ac:dyDescent="0.25">
      <c r="A561">
        <v>1050</v>
      </c>
      <c r="B561" s="1">
        <v>44158</v>
      </c>
      <c r="C561" t="s">
        <v>37</v>
      </c>
      <c r="D561" t="s">
        <v>18</v>
      </c>
      <c r="E561" t="s">
        <v>19</v>
      </c>
      <c r="F561" t="s">
        <v>33</v>
      </c>
      <c r="G561" t="s">
        <v>78</v>
      </c>
      <c r="H561" t="s">
        <v>22</v>
      </c>
      <c r="I561" t="s">
        <v>23</v>
      </c>
      <c r="J561" t="s">
        <v>30</v>
      </c>
      <c r="K561" t="s">
        <v>25</v>
      </c>
      <c r="L561">
        <v>4</v>
      </c>
      <c r="M561">
        <v>5</v>
      </c>
      <c r="N561">
        <v>1</v>
      </c>
      <c r="O561">
        <v>1</v>
      </c>
      <c r="P561">
        <v>846.43</v>
      </c>
      <c r="Q561">
        <v>27</v>
      </c>
      <c r="S561">
        <f t="shared" si="32"/>
        <v>557.6865165165168</v>
      </c>
      <c r="T561">
        <f t="shared" si="33"/>
        <v>153</v>
      </c>
      <c r="U561">
        <f t="shared" si="34"/>
        <v>1.9139139139139139</v>
      </c>
      <c r="V561">
        <f t="shared" si="35"/>
        <v>557.6865165165168</v>
      </c>
    </row>
    <row r="562" spans="1:22" x14ac:dyDescent="0.25">
      <c r="A562">
        <v>1051</v>
      </c>
      <c r="B562" s="1">
        <v>44659</v>
      </c>
      <c r="C562" t="s">
        <v>60</v>
      </c>
      <c r="D562" t="s">
        <v>18</v>
      </c>
      <c r="E562" t="s">
        <v>32</v>
      </c>
      <c r="F562" t="s">
        <v>20</v>
      </c>
      <c r="G562" t="s">
        <v>78</v>
      </c>
      <c r="H562" t="s">
        <v>41</v>
      </c>
      <c r="I562" t="s">
        <v>23</v>
      </c>
      <c r="J562" t="s">
        <v>30</v>
      </c>
      <c r="K562" t="s">
        <v>25</v>
      </c>
      <c r="L562">
        <v>2</v>
      </c>
      <c r="M562">
        <v>4</v>
      </c>
      <c r="N562">
        <v>5</v>
      </c>
      <c r="O562">
        <v>3</v>
      </c>
      <c r="P562">
        <v>572.94000000000005</v>
      </c>
      <c r="Q562">
        <v>41</v>
      </c>
      <c r="S562">
        <f t="shared" si="32"/>
        <v>557.6865165165168</v>
      </c>
      <c r="T562">
        <f t="shared" si="33"/>
        <v>153</v>
      </c>
      <c r="U562">
        <f t="shared" si="34"/>
        <v>1.9139139139139139</v>
      </c>
      <c r="V562">
        <f t="shared" si="35"/>
        <v>557.6865165165168</v>
      </c>
    </row>
    <row r="563" spans="1:22" x14ac:dyDescent="0.25">
      <c r="A563">
        <v>1052</v>
      </c>
      <c r="B563" s="1">
        <v>44252</v>
      </c>
      <c r="C563" t="s">
        <v>43</v>
      </c>
      <c r="D563" t="s">
        <v>18</v>
      </c>
      <c r="E563" t="s">
        <v>19</v>
      </c>
      <c r="F563" t="s">
        <v>33</v>
      </c>
      <c r="G563" t="s">
        <v>78</v>
      </c>
      <c r="H563" t="s">
        <v>38</v>
      </c>
      <c r="I563" t="s">
        <v>23</v>
      </c>
      <c r="J563" t="s">
        <v>24</v>
      </c>
      <c r="K563" t="s">
        <v>25</v>
      </c>
      <c r="L563">
        <v>1</v>
      </c>
      <c r="M563">
        <v>4</v>
      </c>
      <c r="N563">
        <v>4</v>
      </c>
      <c r="O563">
        <v>4</v>
      </c>
      <c r="P563">
        <v>234.76</v>
      </c>
      <c r="Q563">
        <v>41</v>
      </c>
      <c r="S563">
        <f t="shared" si="32"/>
        <v>557.6865165165168</v>
      </c>
      <c r="T563">
        <f t="shared" si="33"/>
        <v>153</v>
      </c>
      <c r="U563">
        <f t="shared" si="34"/>
        <v>1.9139139139139139</v>
      </c>
      <c r="V563">
        <f t="shared" si="35"/>
        <v>557.6865165165168</v>
      </c>
    </row>
    <row r="564" spans="1:22" x14ac:dyDescent="0.25">
      <c r="A564">
        <v>1053</v>
      </c>
      <c r="B564" s="1">
        <v>43537</v>
      </c>
      <c r="C564" t="s">
        <v>49</v>
      </c>
      <c r="D564" t="s">
        <v>18</v>
      </c>
      <c r="E564" t="s">
        <v>19</v>
      </c>
      <c r="F564" t="s">
        <v>20</v>
      </c>
      <c r="G564" t="s">
        <v>78</v>
      </c>
      <c r="H564" t="s">
        <v>62</v>
      </c>
      <c r="I564" t="s">
        <v>23</v>
      </c>
      <c r="J564" t="s">
        <v>24</v>
      </c>
      <c r="K564" t="s">
        <v>25</v>
      </c>
      <c r="L564">
        <v>2</v>
      </c>
      <c r="M564">
        <v>1</v>
      </c>
      <c r="N564">
        <v>4</v>
      </c>
      <c r="O564">
        <v>4</v>
      </c>
      <c r="P564">
        <v>704.7</v>
      </c>
      <c r="Q564">
        <v>72</v>
      </c>
      <c r="S564">
        <f t="shared" si="32"/>
        <v>557.6865165165168</v>
      </c>
      <c r="T564">
        <f t="shared" si="33"/>
        <v>153</v>
      </c>
      <c r="U564">
        <f t="shared" si="34"/>
        <v>1.9139139139139139</v>
      </c>
      <c r="V564">
        <f t="shared" si="35"/>
        <v>557.6865165165168</v>
      </c>
    </row>
    <row r="565" spans="1:22" x14ac:dyDescent="0.25">
      <c r="A565">
        <v>1054</v>
      </c>
      <c r="B565" s="1">
        <v>44969</v>
      </c>
      <c r="C565" t="s">
        <v>31</v>
      </c>
      <c r="D565" t="s">
        <v>18</v>
      </c>
      <c r="E565" t="s">
        <v>28</v>
      </c>
      <c r="F565" t="s">
        <v>27</v>
      </c>
      <c r="G565" t="s">
        <v>78</v>
      </c>
      <c r="H565" t="s">
        <v>47</v>
      </c>
      <c r="I565" t="s">
        <v>23</v>
      </c>
      <c r="J565" t="s">
        <v>30</v>
      </c>
      <c r="K565" t="s">
        <v>25</v>
      </c>
      <c r="L565">
        <v>1</v>
      </c>
      <c r="M565">
        <v>5</v>
      </c>
      <c r="N565">
        <v>2</v>
      </c>
      <c r="O565">
        <v>3</v>
      </c>
      <c r="P565">
        <v>533.97</v>
      </c>
      <c r="Q565">
        <v>30</v>
      </c>
      <c r="S565">
        <f t="shared" si="32"/>
        <v>557.6865165165168</v>
      </c>
      <c r="T565">
        <f t="shared" si="33"/>
        <v>153</v>
      </c>
      <c r="U565">
        <f t="shared" si="34"/>
        <v>1.9139139139139139</v>
      </c>
      <c r="V565">
        <f t="shared" si="35"/>
        <v>557.6865165165168</v>
      </c>
    </row>
    <row r="566" spans="1:22" x14ac:dyDescent="0.25">
      <c r="A566">
        <v>1055</v>
      </c>
      <c r="B566" s="1">
        <v>43351</v>
      </c>
      <c r="C566" t="s">
        <v>60</v>
      </c>
      <c r="D566" t="s">
        <v>18</v>
      </c>
      <c r="E566" t="s">
        <v>19</v>
      </c>
      <c r="F566" t="s">
        <v>20</v>
      </c>
      <c r="G566" t="s">
        <v>78</v>
      </c>
      <c r="H566" t="s">
        <v>41</v>
      </c>
      <c r="I566" t="s">
        <v>23</v>
      </c>
      <c r="J566" t="s">
        <v>24</v>
      </c>
      <c r="K566" t="s">
        <v>25</v>
      </c>
      <c r="L566">
        <v>3</v>
      </c>
      <c r="M566">
        <v>4</v>
      </c>
      <c r="N566">
        <v>1</v>
      </c>
      <c r="O566">
        <v>2</v>
      </c>
      <c r="P566">
        <v>125.7</v>
      </c>
      <c r="Q566">
        <v>23</v>
      </c>
      <c r="S566">
        <f t="shared" si="32"/>
        <v>557.6865165165168</v>
      </c>
      <c r="T566">
        <f t="shared" si="33"/>
        <v>153</v>
      </c>
      <c r="U566">
        <f t="shared" si="34"/>
        <v>1.9139139139139139</v>
      </c>
      <c r="V566">
        <f t="shared" si="35"/>
        <v>557.6865165165168</v>
      </c>
    </row>
    <row r="567" spans="1:22" x14ac:dyDescent="0.25">
      <c r="A567">
        <v>1056</v>
      </c>
      <c r="B567" s="1">
        <v>44518</v>
      </c>
      <c r="C567" t="s">
        <v>52</v>
      </c>
      <c r="D567" t="s">
        <v>18</v>
      </c>
      <c r="E567" t="s">
        <v>19</v>
      </c>
      <c r="F567" t="s">
        <v>20</v>
      </c>
      <c r="G567" t="s">
        <v>78</v>
      </c>
      <c r="H567" t="s">
        <v>67</v>
      </c>
      <c r="I567" t="s">
        <v>23</v>
      </c>
      <c r="J567" t="s">
        <v>30</v>
      </c>
      <c r="K567" t="s">
        <v>25</v>
      </c>
      <c r="L567">
        <v>4</v>
      </c>
      <c r="M567">
        <v>2</v>
      </c>
      <c r="N567">
        <v>2</v>
      </c>
      <c r="O567">
        <v>2</v>
      </c>
      <c r="P567">
        <v>442.06</v>
      </c>
      <c r="Q567">
        <v>78</v>
      </c>
      <c r="S567">
        <f t="shared" si="32"/>
        <v>557.6865165165168</v>
      </c>
      <c r="T567">
        <f t="shared" si="33"/>
        <v>153</v>
      </c>
      <c r="U567">
        <f t="shared" si="34"/>
        <v>1.9139139139139139</v>
      </c>
      <c r="V567">
        <f t="shared" si="35"/>
        <v>557.6865165165168</v>
      </c>
    </row>
    <row r="568" spans="1:22" x14ac:dyDescent="0.25">
      <c r="A568">
        <v>1057</v>
      </c>
      <c r="B568" s="1">
        <v>45108</v>
      </c>
      <c r="C568" t="s">
        <v>37</v>
      </c>
      <c r="D568" t="s">
        <v>18</v>
      </c>
      <c r="E568" t="s">
        <v>32</v>
      </c>
      <c r="F568" t="s">
        <v>27</v>
      </c>
      <c r="G568" t="s">
        <v>78</v>
      </c>
      <c r="H568" t="s">
        <v>67</v>
      </c>
      <c r="I568" t="s">
        <v>23</v>
      </c>
      <c r="J568" t="s">
        <v>30</v>
      </c>
      <c r="K568" t="s">
        <v>25</v>
      </c>
      <c r="L568">
        <v>3</v>
      </c>
      <c r="M568">
        <v>2</v>
      </c>
      <c r="N568">
        <v>5</v>
      </c>
      <c r="O568">
        <v>4</v>
      </c>
      <c r="P568">
        <v>649.23</v>
      </c>
      <c r="Q568">
        <v>25</v>
      </c>
      <c r="S568">
        <f t="shared" si="32"/>
        <v>557.6865165165168</v>
      </c>
      <c r="T568">
        <f t="shared" si="33"/>
        <v>153</v>
      </c>
      <c r="U568">
        <f t="shared" si="34"/>
        <v>1.9139139139139139</v>
      </c>
      <c r="V568">
        <f t="shared" si="35"/>
        <v>557.6865165165168</v>
      </c>
    </row>
    <row r="569" spans="1:22" x14ac:dyDescent="0.25">
      <c r="A569">
        <v>1058</v>
      </c>
      <c r="B569" s="1">
        <v>44669</v>
      </c>
      <c r="C569" t="s">
        <v>43</v>
      </c>
      <c r="D569" t="s">
        <v>18</v>
      </c>
      <c r="E569" t="s">
        <v>19</v>
      </c>
      <c r="F569" t="s">
        <v>20</v>
      </c>
      <c r="G569" t="s">
        <v>78</v>
      </c>
      <c r="H569" t="s">
        <v>73</v>
      </c>
      <c r="I569" t="s">
        <v>23</v>
      </c>
      <c r="J569" t="s">
        <v>30</v>
      </c>
      <c r="K569" t="s">
        <v>25</v>
      </c>
      <c r="L569">
        <v>4</v>
      </c>
      <c r="M569">
        <v>2</v>
      </c>
      <c r="N569">
        <v>1</v>
      </c>
      <c r="O569">
        <v>1</v>
      </c>
      <c r="P569">
        <v>855.67</v>
      </c>
      <c r="Q569">
        <v>80</v>
      </c>
      <c r="S569">
        <f t="shared" si="32"/>
        <v>557.6865165165168</v>
      </c>
      <c r="T569">
        <f t="shared" si="33"/>
        <v>153</v>
      </c>
      <c r="U569">
        <f t="shared" si="34"/>
        <v>1.9139139139139139</v>
      </c>
      <c r="V569">
        <f t="shared" si="35"/>
        <v>557.6865165165168</v>
      </c>
    </row>
    <row r="570" spans="1:22" x14ac:dyDescent="0.25">
      <c r="A570">
        <v>1059</v>
      </c>
      <c r="B570" s="1">
        <v>45045</v>
      </c>
      <c r="C570" t="s">
        <v>40</v>
      </c>
      <c r="D570" t="s">
        <v>18</v>
      </c>
      <c r="E570" t="s">
        <v>28</v>
      </c>
      <c r="F570" t="s">
        <v>20</v>
      </c>
      <c r="G570" t="s">
        <v>78</v>
      </c>
      <c r="H570" t="s">
        <v>47</v>
      </c>
      <c r="I570" t="s">
        <v>23</v>
      </c>
      <c r="J570" t="s">
        <v>24</v>
      </c>
      <c r="K570" t="s">
        <v>25</v>
      </c>
      <c r="L570">
        <v>4</v>
      </c>
      <c r="M570">
        <v>3</v>
      </c>
      <c r="N570">
        <v>3</v>
      </c>
      <c r="O570">
        <v>3</v>
      </c>
      <c r="P570">
        <v>256.82</v>
      </c>
      <c r="Q570">
        <v>49</v>
      </c>
      <c r="S570">
        <f t="shared" si="32"/>
        <v>557.6865165165168</v>
      </c>
      <c r="T570">
        <f t="shared" si="33"/>
        <v>153</v>
      </c>
      <c r="U570">
        <f t="shared" si="34"/>
        <v>1.9139139139139139</v>
      </c>
      <c r="V570">
        <f t="shared" si="35"/>
        <v>557.6865165165168</v>
      </c>
    </row>
    <row r="571" spans="1:22" x14ac:dyDescent="0.25">
      <c r="A571">
        <v>1060</v>
      </c>
      <c r="B571" s="1">
        <v>43383</v>
      </c>
      <c r="C571" t="s">
        <v>17</v>
      </c>
      <c r="D571" t="s">
        <v>18</v>
      </c>
      <c r="E571" t="s">
        <v>28</v>
      </c>
      <c r="F571" t="s">
        <v>33</v>
      </c>
      <c r="G571" t="s">
        <v>78</v>
      </c>
      <c r="H571" t="s">
        <v>38</v>
      </c>
      <c r="I571" t="s">
        <v>23</v>
      </c>
      <c r="J571" t="s">
        <v>24</v>
      </c>
      <c r="K571" t="s">
        <v>25</v>
      </c>
      <c r="L571">
        <v>5</v>
      </c>
      <c r="M571">
        <v>5</v>
      </c>
      <c r="N571">
        <v>4</v>
      </c>
      <c r="O571">
        <v>1</v>
      </c>
      <c r="P571">
        <v>770.84</v>
      </c>
      <c r="Q571">
        <v>42</v>
      </c>
      <c r="S571">
        <f t="shared" si="32"/>
        <v>557.6865165165168</v>
      </c>
      <c r="T571">
        <f t="shared" si="33"/>
        <v>153</v>
      </c>
      <c r="U571">
        <f t="shared" si="34"/>
        <v>1.9139139139139139</v>
      </c>
      <c r="V571">
        <f t="shared" si="35"/>
        <v>557.6865165165168</v>
      </c>
    </row>
    <row r="572" spans="1:22" x14ac:dyDescent="0.25">
      <c r="A572">
        <v>1061</v>
      </c>
      <c r="B572" s="1">
        <v>44885</v>
      </c>
      <c r="C572" t="s">
        <v>26</v>
      </c>
      <c r="D572" t="s">
        <v>18</v>
      </c>
      <c r="E572" t="s">
        <v>28</v>
      </c>
      <c r="F572" t="s">
        <v>20</v>
      </c>
      <c r="G572" t="s">
        <v>78</v>
      </c>
      <c r="H572" t="s">
        <v>35</v>
      </c>
      <c r="I572" t="s">
        <v>23</v>
      </c>
      <c r="J572" t="s">
        <v>24</v>
      </c>
      <c r="K572" t="s">
        <v>25</v>
      </c>
      <c r="L572">
        <v>3</v>
      </c>
      <c r="M572">
        <v>3</v>
      </c>
      <c r="N572">
        <v>1</v>
      </c>
      <c r="O572">
        <v>2</v>
      </c>
      <c r="P572">
        <v>862.33</v>
      </c>
      <c r="Q572">
        <v>29</v>
      </c>
      <c r="S572">
        <f t="shared" si="32"/>
        <v>557.6865165165168</v>
      </c>
      <c r="T572">
        <f t="shared" si="33"/>
        <v>153</v>
      </c>
      <c r="U572">
        <f t="shared" si="34"/>
        <v>1.9139139139139139</v>
      </c>
      <c r="V572">
        <f t="shared" si="35"/>
        <v>557.6865165165168</v>
      </c>
    </row>
    <row r="573" spans="1:22" x14ac:dyDescent="0.25">
      <c r="A573">
        <v>1062</v>
      </c>
      <c r="B573" s="1">
        <v>43603</v>
      </c>
      <c r="C573" t="s">
        <v>40</v>
      </c>
      <c r="D573" t="s">
        <v>84</v>
      </c>
      <c r="E573" t="s">
        <v>28</v>
      </c>
      <c r="F573" t="s">
        <v>27</v>
      </c>
      <c r="G573" t="s">
        <v>78</v>
      </c>
      <c r="H573" t="s">
        <v>47</v>
      </c>
      <c r="I573" t="s">
        <v>23</v>
      </c>
      <c r="J573" t="s">
        <v>30</v>
      </c>
      <c r="K573" t="s">
        <v>25</v>
      </c>
      <c r="L573">
        <v>3</v>
      </c>
      <c r="M573">
        <v>2</v>
      </c>
      <c r="N573">
        <v>1</v>
      </c>
      <c r="O573">
        <v>5</v>
      </c>
      <c r="P573">
        <v>702.84</v>
      </c>
      <c r="Q573">
        <v>50</v>
      </c>
      <c r="S573">
        <f t="shared" si="32"/>
        <v>557.6865165165168</v>
      </c>
      <c r="T573">
        <f t="shared" si="33"/>
        <v>153</v>
      </c>
      <c r="U573">
        <f t="shared" si="34"/>
        <v>1.9139139139139139</v>
      </c>
      <c r="V573">
        <f t="shared" si="35"/>
        <v>557.6865165165168</v>
      </c>
    </row>
    <row r="574" spans="1:22" x14ac:dyDescent="0.25">
      <c r="A574">
        <v>1063</v>
      </c>
      <c r="B574" s="1">
        <v>44369</v>
      </c>
      <c r="C574" t="s">
        <v>17</v>
      </c>
      <c r="D574" t="s">
        <v>18</v>
      </c>
      <c r="E574" t="s">
        <v>32</v>
      </c>
      <c r="F574" t="s">
        <v>33</v>
      </c>
      <c r="G574" t="s">
        <v>78</v>
      </c>
      <c r="H574" t="s">
        <v>29</v>
      </c>
      <c r="I574" t="s">
        <v>23</v>
      </c>
      <c r="J574" t="s">
        <v>24</v>
      </c>
      <c r="K574" t="s">
        <v>25</v>
      </c>
      <c r="L574">
        <v>5</v>
      </c>
      <c r="M574">
        <v>2</v>
      </c>
      <c r="N574">
        <v>4</v>
      </c>
      <c r="O574">
        <v>1</v>
      </c>
      <c r="P574">
        <v>523.82000000000005</v>
      </c>
      <c r="Q574">
        <v>76</v>
      </c>
      <c r="S574">
        <f t="shared" si="32"/>
        <v>557.6865165165168</v>
      </c>
      <c r="T574">
        <f t="shared" si="33"/>
        <v>153</v>
      </c>
      <c r="U574">
        <f t="shared" si="34"/>
        <v>1.9139139139139139</v>
      </c>
      <c r="V574">
        <f t="shared" si="35"/>
        <v>557.6865165165168</v>
      </c>
    </row>
    <row r="575" spans="1:22" x14ac:dyDescent="0.25">
      <c r="A575">
        <v>1064</v>
      </c>
      <c r="B575" s="1">
        <v>44650</v>
      </c>
      <c r="C575" t="s">
        <v>52</v>
      </c>
      <c r="D575" t="s">
        <v>84</v>
      </c>
      <c r="E575" t="s">
        <v>28</v>
      </c>
      <c r="F575" t="s">
        <v>27</v>
      </c>
      <c r="G575" t="s">
        <v>78</v>
      </c>
      <c r="H575" t="s">
        <v>41</v>
      </c>
      <c r="I575" t="s">
        <v>23</v>
      </c>
      <c r="J575" t="s">
        <v>30</v>
      </c>
      <c r="K575" t="s">
        <v>25</v>
      </c>
      <c r="L575">
        <v>5</v>
      </c>
      <c r="M575">
        <v>4</v>
      </c>
      <c r="N575">
        <v>4</v>
      </c>
      <c r="O575">
        <v>1</v>
      </c>
      <c r="P575">
        <v>819.86</v>
      </c>
      <c r="Q575">
        <v>35</v>
      </c>
      <c r="S575">
        <f t="shared" si="32"/>
        <v>557.6865165165168</v>
      </c>
      <c r="T575">
        <f t="shared" si="33"/>
        <v>153</v>
      </c>
      <c r="U575">
        <f t="shared" si="34"/>
        <v>1.9139139139139139</v>
      </c>
      <c r="V575">
        <f t="shared" si="35"/>
        <v>557.6865165165168</v>
      </c>
    </row>
    <row r="576" spans="1:22" x14ac:dyDescent="0.25">
      <c r="A576">
        <v>1065</v>
      </c>
      <c r="B576" s="1">
        <v>43340</v>
      </c>
      <c r="C576" t="s">
        <v>26</v>
      </c>
      <c r="D576" t="s">
        <v>18</v>
      </c>
      <c r="E576" t="s">
        <v>19</v>
      </c>
      <c r="F576" t="s">
        <v>20</v>
      </c>
      <c r="G576" t="s">
        <v>78</v>
      </c>
      <c r="H576" t="s">
        <v>47</v>
      </c>
      <c r="I576" t="s">
        <v>23</v>
      </c>
      <c r="J576" t="s">
        <v>30</v>
      </c>
      <c r="K576" t="s">
        <v>25</v>
      </c>
      <c r="L576">
        <v>5</v>
      </c>
      <c r="M576">
        <v>3</v>
      </c>
      <c r="N576">
        <v>4</v>
      </c>
      <c r="O576">
        <v>4</v>
      </c>
      <c r="P576">
        <v>486.01</v>
      </c>
      <c r="Q576">
        <v>23</v>
      </c>
      <c r="S576">
        <f t="shared" si="32"/>
        <v>557.6865165165168</v>
      </c>
      <c r="T576">
        <f t="shared" si="33"/>
        <v>153</v>
      </c>
      <c r="U576">
        <f t="shared" si="34"/>
        <v>1.9139139139139139</v>
      </c>
      <c r="V576">
        <f t="shared" si="35"/>
        <v>557.6865165165168</v>
      </c>
    </row>
    <row r="577" spans="1:22" x14ac:dyDescent="0.25">
      <c r="A577">
        <v>1066</v>
      </c>
      <c r="B577" s="1">
        <v>44557</v>
      </c>
      <c r="C577" t="s">
        <v>54</v>
      </c>
      <c r="D577" t="s">
        <v>18</v>
      </c>
      <c r="E577" t="s">
        <v>32</v>
      </c>
      <c r="F577" t="s">
        <v>20</v>
      </c>
      <c r="G577" t="s">
        <v>78</v>
      </c>
      <c r="H577" t="s">
        <v>68</v>
      </c>
      <c r="I577" t="s">
        <v>23</v>
      </c>
      <c r="J577" t="s">
        <v>30</v>
      </c>
      <c r="K577" t="s">
        <v>25</v>
      </c>
      <c r="L577">
        <v>4</v>
      </c>
      <c r="M577">
        <v>3</v>
      </c>
      <c r="N577">
        <v>5</v>
      </c>
      <c r="O577">
        <v>5</v>
      </c>
      <c r="P577">
        <v>769.42</v>
      </c>
      <c r="Q577">
        <v>40</v>
      </c>
      <c r="S577">
        <f t="shared" si="32"/>
        <v>557.6865165165168</v>
      </c>
      <c r="T577">
        <f t="shared" si="33"/>
        <v>153</v>
      </c>
      <c r="U577">
        <f t="shared" si="34"/>
        <v>1.9139139139139139</v>
      </c>
      <c r="V577">
        <f t="shared" si="35"/>
        <v>557.6865165165168</v>
      </c>
    </row>
    <row r="578" spans="1:22" x14ac:dyDescent="0.25">
      <c r="A578">
        <v>1067</v>
      </c>
      <c r="B578" s="1">
        <v>44149</v>
      </c>
      <c r="C578" t="s">
        <v>37</v>
      </c>
      <c r="D578" t="s">
        <v>18</v>
      </c>
      <c r="E578" t="s">
        <v>28</v>
      </c>
      <c r="F578" t="s">
        <v>27</v>
      </c>
      <c r="G578" t="s">
        <v>78</v>
      </c>
      <c r="H578" t="s">
        <v>41</v>
      </c>
      <c r="I578" t="s">
        <v>23</v>
      </c>
      <c r="J578" t="s">
        <v>24</v>
      </c>
      <c r="K578" t="s">
        <v>25</v>
      </c>
      <c r="L578">
        <v>3</v>
      </c>
      <c r="M578">
        <v>2</v>
      </c>
      <c r="N578">
        <v>5</v>
      </c>
      <c r="O578">
        <v>5</v>
      </c>
      <c r="P578">
        <v>857.65</v>
      </c>
      <c r="Q578">
        <v>72</v>
      </c>
      <c r="S578">
        <f t="shared" ref="S578:S641" si="36">AVERAGE(P:P)-1</f>
        <v>557.6865165165168</v>
      </c>
      <c r="T578">
        <f t="shared" ref="T578:T641" si="37">COUNTIF(D:D,"Inactive")</f>
        <v>153</v>
      </c>
      <c r="U578">
        <f t="shared" ref="U578:U641" si="38">AVERAGE(L:L)-1</f>
        <v>1.9139139139139139</v>
      </c>
      <c r="V578">
        <f t="shared" ref="V578:V641" si="39">AVERAGE(P:P)-1</f>
        <v>557.6865165165168</v>
      </c>
    </row>
    <row r="579" spans="1:22" x14ac:dyDescent="0.25">
      <c r="A579">
        <v>1068</v>
      </c>
      <c r="B579" s="1">
        <v>44470</v>
      </c>
      <c r="C579" t="s">
        <v>60</v>
      </c>
      <c r="D579" t="s">
        <v>18</v>
      </c>
      <c r="E579" t="s">
        <v>32</v>
      </c>
      <c r="F579" t="s">
        <v>33</v>
      </c>
      <c r="G579" t="s">
        <v>78</v>
      </c>
      <c r="H579" t="s">
        <v>67</v>
      </c>
      <c r="I579" t="s">
        <v>23</v>
      </c>
      <c r="J579" t="s">
        <v>24</v>
      </c>
      <c r="K579" t="s">
        <v>25</v>
      </c>
      <c r="L579">
        <v>3</v>
      </c>
      <c r="M579">
        <v>2</v>
      </c>
      <c r="N579">
        <v>2</v>
      </c>
      <c r="O579">
        <v>1</v>
      </c>
      <c r="P579">
        <v>238.27</v>
      </c>
      <c r="Q579">
        <v>23</v>
      </c>
      <c r="S579">
        <f t="shared" si="36"/>
        <v>557.6865165165168</v>
      </c>
      <c r="T579">
        <f t="shared" si="37"/>
        <v>153</v>
      </c>
      <c r="U579">
        <f t="shared" si="38"/>
        <v>1.9139139139139139</v>
      </c>
      <c r="V579">
        <f t="shared" si="39"/>
        <v>557.6865165165168</v>
      </c>
    </row>
    <row r="580" spans="1:22" x14ac:dyDescent="0.25">
      <c r="A580">
        <v>1069</v>
      </c>
      <c r="B580" s="1">
        <v>43386</v>
      </c>
      <c r="C580" t="s">
        <v>43</v>
      </c>
      <c r="D580" t="s">
        <v>18</v>
      </c>
      <c r="E580" t="s">
        <v>32</v>
      </c>
      <c r="F580" t="s">
        <v>33</v>
      </c>
      <c r="G580" t="s">
        <v>78</v>
      </c>
      <c r="H580" t="s">
        <v>38</v>
      </c>
      <c r="I580" t="s">
        <v>23</v>
      </c>
      <c r="J580" t="s">
        <v>24</v>
      </c>
      <c r="K580" t="s">
        <v>25</v>
      </c>
      <c r="L580">
        <v>3</v>
      </c>
      <c r="M580">
        <v>1</v>
      </c>
      <c r="N580">
        <v>2</v>
      </c>
      <c r="O580">
        <v>5</v>
      </c>
      <c r="P580">
        <v>886.06</v>
      </c>
      <c r="Q580">
        <v>43</v>
      </c>
      <c r="S580">
        <f t="shared" si="36"/>
        <v>557.6865165165168</v>
      </c>
      <c r="T580">
        <f t="shared" si="37"/>
        <v>153</v>
      </c>
      <c r="U580">
        <f t="shared" si="38"/>
        <v>1.9139139139139139</v>
      </c>
      <c r="V580">
        <f t="shared" si="39"/>
        <v>557.6865165165168</v>
      </c>
    </row>
    <row r="581" spans="1:22" x14ac:dyDescent="0.25">
      <c r="A581">
        <v>1070</v>
      </c>
      <c r="B581" s="1">
        <v>43449</v>
      </c>
      <c r="C581" t="s">
        <v>49</v>
      </c>
      <c r="D581" t="s">
        <v>18</v>
      </c>
      <c r="E581" t="s">
        <v>32</v>
      </c>
      <c r="F581" t="s">
        <v>20</v>
      </c>
      <c r="G581" t="s">
        <v>78</v>
      </c>
      <c r="H581" t="s">
        <v>35</v>
      </c>
      <c r="I581" t="s">
        <v>23</v>
      </c>
      <c r="J581" t="s">
        <v>30</v>
      </c>
      <c r="K581" t="s">
        <v>25</v>
      </c>
      <c r="L581">
        <v>3</v>
      </c>
      <c r="M581">
        <v>1</v>
      </c>
      <c r="N581">
        <v>2</v>
      </c>
      <c r="O581">
        <v>1</v>
      </c>
      <c r="P581">
        <v>943.8</v>
      </c>
      <c r="Q581">
        <v>20</v>
      </c>
      <c r="S581">
        <f t="shared" si="36"/>
        <v>557.6865165165168</v>
      </c>
      <c r="T581">
        <f t="shared" si="37"/>
        <v>153</v>
      </c>
      <c r="U581">
        <f t="shared" si="38"/>
        <v>1.9139139139139139</v>
      </c>
      <c r="V581">
        <f t="shared" si="39"/>
        <v>557.6865165165168</v>
      </c>
    </row>
    <row r="582" spans="1:22" x14ac:dyDescent="0.25">
      <c r="A582">
        <v>1071</v>
      </c>
      <c r="B582" s="1">
        <v>43552</v>
      </c>
      <c r="C582" t="s">
        <v>31</v>
      </c>
      <c r="D582" t="s">
        <v>84</v>
      </c>
      <c r="E582" t="s">
        <v>19</v>
      </c>
      <c r="F582" t="s">
        <v>27</v>
      </c>
      <c r="G582" t="s">
        <v>78</v>
      </c>
      <c r="H582" t="s">
        <v>41</v>
      </c>
      <c r="I582" t="s">
        <v>23</v>
      </c>
      <c r="J582" t="s">
        <v>30</v>
      </c>
      <c r="K582" t="s">
        <v>25</v>
      </c>
      <c r="L582">
        <v>1</v>
      </c>
      <c r="M582">
        <v>2</v>
      </c>
      <c r="N582">
        <v>2</v>
      </c>
      <c r="O582">
        <v>5</v>
      </c>
      <c r="P582">
        <v>234.26</v>
      </c>
      <c r="Q582">
        <v>51</v>
      </c>
      <c r="S582">
        <f t="shared" si="36"/>
        <v>557.6865165165168</v>
      </c>
      <c r="T582">
        <f t="shared" si="37"/>
        <v>153</v>
      </c>
      <c r="U582">
        <f t="shared" si="38"/>
        <v>1.9139139139139139</v>
      </c>
      <c r="V582">
        <f t="shared" si="39"/>
        <v>557.6865165165168</v>
      </c>
    </row>
    <row r="583" spans="1:22" x14ac:dyDescent="0.25">
      <c r="A583">
        <v>1072</v>
      </c>
      <c r="B583" s="1">
        <v>43461</v>
      </c>
      <c r="C583" t="s">
        <v>40</v>
      </c>
      <c r="D583" t="s">
        <v>18</v>
      </c>
      <c r="E583" t="s">
        <v>28</v>
      </c>
      <c r="F583" t="s">
        <v>20</v>
      </c>
      <c r="G583" t="s">
        <v>78</v>
      </c>
      <c r="H583" t="s">
        <v>41</v>
      </c>
      <c r="I583" t="s">
        <v>23</v>
      </c>
      <c r="J583" t="s">
        <v>24</v>
      </c>
      <c r="K583" t="s">
        <v>25</v>
      </c>
      <c r="L583">
        <v>2</v>
      </c>
      <c r="M583">
        <v>2</v>
      </c>
      <c r="N583">
        <v>3</v>
      </c>
      <c r="O583">
        <v>5</v>
      </c>
      <c r="P583">
        <v>179.91</v>
      </c>
      <c r="Q583">
        <v>41</v>
      </c>
      <c r="S583">
        <f t="shared" si="36"/>
        <v>557.6865165165168</v>
      </c>
      <c r="T583">
        <f t="shared" si="37"/>
        <v>153</v>
      </c>
      <c r="U583">
        <f t="shared" si="38"/>
        <v>1.9139139139139139</v>
      </c>
      <c r="V583">
        <f t="shared" si="39"/>
        <v>557.6865165165168</v>
      </c>
    </row>
    <row r="584" spans="1:22" x14ac:dyDescent="0.25">
      <c r="A584">
        <v>1073</v>
      </c>
      <c r="B584" s="1">
        <v>43596</v>
      </c>
      <c r="C584" t="s">
        <v>17</v>
      </c>
      <c r="D584" t="s">
        <v>18</v>
      </c>
      <c r="E584" t="s">
        <v>32</v>
      </c>
      <c r="F584" t="s">
        <v>27</v>
      </c>
      <c r="G584" t="s">
        <v>78</v>
      </c>
      <c r="H584" t="s">
        <v>41</v>
      </c>
      <c r="I584" t="s">
        <v>23</v>
      </c>
      <c r="J584" t="s">
        <v>30</v>
      </c>
      <c r="K584" t="s">
        <v>25</v>
      </c>
      <c r="L584">
        <v>4</v>
      </c>
      <c r="M584">
        <v>4</v>
      </c>
      <c r="N584">
        <v>2</v>
      </c>
      <c r="O584">
        <v>4</v>
      </c>
      <c r="P584">
        <v>306.3</v>
      </c>
      <c r="Q584">
        <v>21</v>
      </c>
      <c r="S584">
        <f t="shared" si="36"/>
        <v>557.6865165165168</v>
      </c>
      <c r="T584">
        <f t="shared" si="37"/>
        <v>153</v>
      </c>
      <c r="U584">
        <f t="shared" si="38"/>
        <v>1.9139139139139139</v>
      </c>
      <c r="V584">
        <f t="shared" si="39"/>
        <v>557.6865165165168</v>
      </c>
    </row>
    <row r="585" spans="1:22" x14ac:dyDescent="0.25">
      <c r="A585">
        <v>1074</v>
      </c>
      <c r="B585" s="1">
        <v>44246</v>
      </c>
      <c r="C585" t="s">
        <v>52</v>
      </c>
      <c r="D585" t="s">
        <v>84</v>
      </c>
      <c r="E585" t="s">
        <v>32</v>
      </c>
      <c r="F585" t="s">
        <v>27</v>
      </c>
      <c r="G585" t="s">
        <v>78</v>
      </c>
      <c r="H585" t="s">
        <v>38</v>
      </c>
      <c r="I585" t="s">
        <v>23</v>
      </c>
      <c r="J585" t="s">
        <v>30</v>
      </c>
      <c r="K585" t="s">
        <v>25</v>
      </c>
      <c r="L585">
        <v>3</v>
      </c>
      <c r="M585">
        <v>4</v>
      </c>
      <c r="N585">
        <v>1</v>
      </c>
      <c r="O585">
        <v>5</v>
      </c>
      <c r="P585">
        <v>103.42</v>
      </c>
      <c r="Q585">
        <v>38</v>
      </c>
      <c r="S585">
        <f t="shared" si="36"/>
        <v>557.6865165165168</v>
      </c>
      <c r="T585">
        <f t="shared" si="37"/>
        <v>153</v>
      </c>
      <c r="U585">
        <f t="shared" si="38"/>
        <v>1.9139139139139139</v>
      </c>
      <c r="V585">
        <f t="shared" si="39"/>
        <v>557.6865165165168</v>
      </c>
    </row>
    <row r="586" spans="1:22" x14ac:dyDescent="0.25">
      <c r="A586">
        <v>1075</v>
      </c>
      <c r="B586" s="1">
        <v>44870</v>
      </c>
      <c r="C586" t="s">
        <v>26</v>
      </c>
      <c r="D586" t="s">
        <v>18</v>
      </c>
      <c r="E586" t="s">
        <v>28</v>
      </c>
      <c r="F586" t="s">
        <v>33</v>
      </c>
      <c r="G586" t="s">
        <v>78</v>
      </c>
      <c r="H586" t="s">
        <v>47</v>
      </c>
      <c r="I586" t="s">
        <v>23</v>
      </c>
      <c r="J586" t="s">
        <v>30</v>
      </c>
      <c r="K586" t="s">
        <v>25</v>
      </c>
      <c r="L586">
        <v>1</v>
      </c>
      <c r="M586">
        <v>2</v>
      </c>
      <c r="N586">
        <v>3</v>
      </c>
      <c r="O586">
        <v>4</v>
      </c>
      <c r="P586">
        <v>573.29</v>
      </c>
      <c r="Q586">
        <v>54</v>
      </c>
      <c r="S586">
        <f t="shared" si="36"/>
        <v>557.6865165165168</v>
      </c>
      <c r="T586">
        <f t="shared" si="37"/>
        <v>153</v>
      </c>
      <c r="U586">
        <f t="shared" si="38"/>
        <v>1.9139139139139139</v>
      </c>
      <c r="V586">
        <f t="shared" si="39"/>
        <v>557.6865165165168</v>
      </c>
    </row>
    <row r="587" spans="1:22" x14ac:dyDescent="0.25">
      <c r="A587">
        <v>1076</v>
      </c>
      <c r="B587" s="1">
        <v>43912</v>
      </c>
      <c r="C587" t="s">
        <v>54</v>
      </c>
      <c r="D587" t="s">
        <v>18</v>
      </c>
      <c r="E587" t="s">
        <v>19</v>
      </c>
      <c r="F587" t="s">
        <v>20</v>
      </c>
      <c r="G587" t="s">
        <v>78</v>
      </c>
      <c r="H587" t="s">
        <v>44</v>
      </c>
      <c r="I587" t="s">
        <v>23</v>
      </c>
      <c r="J587" t="s">
        <v>24</v>
      </c>
      <c r="K587" t="s">
        <v>25</v>
      </c>
      <c r="L587">
        <v>1</v>
      </c>
      <c r="M587">
        <v>3</v>
      </c>
      <c r="N587">
        <v>1</v>
      </c>
      <c r="O587">
        <v>4</v>
      </c>
      <c r="P587">
        <v>619.61</v>
      </c>
      <c r="Q587">
        <v>77</v>
      </c>
      <c r="S587">
        <f t="shared" si="36"/>
        <v>557.6865165165168</v>
      </c>
      <c r="T587">
        <f t="shared" si="37"/>
        <v>153</v>
      </c>
      <c r="U587">
        <f t="shared" si="38"/>
        <v>1.9139139139139139</v>
      </c>
      <c r="V587">
        <f t="shared" si="39"/>
        <v>557.6865165165168</v>
      </c>
    </row>
    <row r="588" spans="1:22" x14ac:dyDescent="0.25">
      <c r="A588">
        <v>1077</v>
      </c>
      <c r="B588" s="1">
        <v>43498</v>
      </c>
      <c r="C588" t="s">
        <v>37</v>
      </c>
      <c r="D588" t="s">
        <v>18</v>
      </c>
      <c r="E588" t="s">
        <v>19</v>
      </c>
      <c r="F588" t="s">
        <v>33</v>
      </c>
      <c r="G588" t="s">
        <v>78</v>
      </c>
      <c r="H588" t="s">
        <v>69</v>
      </c>
      <c r="I588" t="s">
        <v>23</v>
      </c>
      <c r="J588" t="s">
        <v>24</v>
      </c>
      <c r="K588" t="s">
        <v>25</v>
      </c>
      <c r="L588">
        <v>5</v>
      </c>
      <c r="M588">
        <v>2</v>
      </c>
      <c r="N588">
        <v>4</v>
      </c>
      <c r="O588">
        <v>1</v>
      </c>
      <c r="P588">
        <v>947.17</v>
      </c>
      <c r="Q588">
        <v>27</v>
      </c>
      <c r="S588">
        <f t="shared" si="36"/>
        <v>557.6865165165168</v>
      </c>
      <c r="T588">
        <f t="shared" si="37"/>
        <v>153</v>
      </c>
      <c r="U588">
        <f t="shared" si="38"/>
        <v>1.9139139139139139</v>
      </c>
      <c r="V588">
        <f t="shared" si="39"/>
        <v>557.6865165165168</v>
      </c>
    </row>
    <row r="589" spans="1:22" x14ac:dyDescent="0.25">
      <c r="A589">
        <v>1078</v>
      </c>
      <c r="B589" s="1">
        <v>43885</v>
      </c>
      <c r="C589" t="s">
        <v>60</v>
      </c>
      <c r="D589" t="s">
        <v>18</v>
      </c>
      <c r="E589" t="s">
        <v>19</v>
      </c>
      <c r="F589" t="s">
        <v>20</v>
      </c>
      <c r="G589" t="s">
        <v>78</v>
      </c>
      <c r="H589" t="s">
        <v>29</v>
      </c>
      <c r="I589" t="s">
        <v>23</v>
      </c>
      <c r="J589" t="s">
        <v>24</v>
      </c>
      <c r="K589" t="s">
        <v>25</v>
      </c>
      <c r="L589">
        <v>3</v>
      </c>
      <c r="M589">
        <v>3</v>
      </c>
      <c r="N589">
        <v>4</v>
      </c>
      <c r="O589">
        <v>1</v>
      </c>
      <c r="P589">
        <v>597.64</v>
      </c>
      <c r="Q589">
        <v>23</v>
      </c>
      <c r="S589">
        <f t="shared" si="36"/>
        <v>557.6865165165168</v>
      </c>
      <c r="T589">
        <f t="shared" si="37"/>
        <v>153</v>
      </c>
      <c r="U589">
        <f t="shared" si="38"/>
        <v>1.9139139139139139</v>
      </c>
      <c r="V589">
        <f t="shared" si="39"/>
        <v>557.6865165165168</v>
      </c>
    </row>
    <row r="590" spans="1:22" x14ac:dyDescent="0.25">
      <c r="A590">
        <v>1079</v>
      </c>
      <c r="B590" s="1">
        <v>44293</v>
      </c>
      <c r="C590" t="s">
        <v>43</v>
      </c>
      <c r="D590" t="s">
        <v>18</v>
      </c>
      <c r="E590" t="s">
        <v>28</v>
      </c>
      <c r="F590" t="s">
        <v>33</v>
      </c>
      <c r="G590" t="s">
        <v>78</v>
      </c>
      <c r="H590" t="s">
        <v>65</v>
      </c>
      <c r="I590" t="s">
        <v>23</v>
      </c>
      <c r="J590" t="s">
        <v>24</v>
      </c>
      <c r="K590" t="s">
        <v>25</v>
      </c>
      <c r="L590">
        <v>2</v>
      </c>
      <c r="M590">
        <v>2</v>
      </c>
      <c r="N590">
        <v>1</v>
      </c>
      <c r="O590">
        <v>5</v>
      </c>
      <c r="P590">
        <v>861.1</v>
      </c>
      <c r="Q590">
        <v>21</v>
      </c>
      <c r="S590">
        <f t="shared" si="36"/>
        <v>557.6865165165168</v>
      </c>
      <c r="T590">
        <f t="shared" si="37"/>
        <v>153</v>
      </c>
      <c r="U590">
        <f t="shared" si="38"/>
        <v>1.9139139139139139</v>
      </c>
      <c r="V590">
        <f t="shared" si="39"/>
        <v>557.6865165165168</v>
      </c>
    </row>
    <row r="591" spans="1:22" x14ac:dyDescent="0.25">
      <c r="A591">
        <v>1080</v>
      </c>
      <c r="B591" s="1">
        <v>44149</v>
      </c>
      <c r="C591" t="s">
        <v>49</v>
      </c>
      <c r="D591" t="s">
        <v>18</v>
      </c>
      <c r="E591" t="s">
        <v>28</v>
      </c>
      <c r="F591" t="s">
        <v>20</v>
      </c>
      <c r="G591" t="s">
        <v>78</v>
      </c>
      <c r="H591" t="s">
        <v>63</v>
      </c>
      <c r="I591" t="s">
        <v>23</v>
      </c>
      <c r="J591" t="s">
        <v>30</v>
      </c>
      <c r="K591" t="s">
        <v>25</v>
      </c>
      <c r="L591">
        <v>3</v>
      </c>
      <c r="M591">
        <v>1</v>
      </c>
      <c r="N591">
        <v>3</v>
      </c>
      <c r="O591">
        <v>4</v>
      </c>
      <c r="P591">
        <v>199.14</v>
      </c>
      <c r="Q591">
        <v>32</v>
      </c>
      <c r="S591">
        <f t="shared" si="36"/>
        <v>557.6865165165168</v>
      </c>
      <c r="T591">
        <f t="shared" si="37"/>
        <v>153</v>
      </c>
      <c r="U591">
        <f t="shared" si="38"/>
        <v>1.9139139139139139</v>
      </c>
      <c r="V591">
        <f t="shared" si="39"/>
        <v>557.6865165165168</v>
      </c>
    </row>
    <row r="592" spans="1:22" x14ac:dyDescent="0.25">
      <c r="A592">
        <v>1081</v>
      </c>
      <c r="B592" s="1">
        <v>44578</v>
      </c>
      <c r="C592" t="s">
        <v>26</v>
      </c>
      <c r="D592" t="s">
        <v>84</v>
      </c>
      <c r="E592" t="s">
        <v>19</v>
      </c>
      <c r="F592" t="s">
        <v>33</v>
      </c>
      <c r="G592" t="s">
        <v>78</v>
      </c>
      <c r="H592" t="s">
        <v>38</v>
      </c>
      <c r="I592" t="s">
        <v>23</v>
      </c>
      <c r="J592" t="s">
        <v>30</v>
      </c>
      <c r="K592" t="s">
        <v>25</v>
      </c>
      <c r="L592">
        <v>1</v>
      </c>
      <c r="M592">
        <v>3</v>
      </c>
      <c r="N592">
        <v>3</v>
      </c>
      <c r="O592">
        <v>3</v>
      </c>
      <c r="P592">
        <v>526.08000000000004</v>
      </c>
      <c r="Q592">
        <v>57</v>
      </c>
      <c r="S592">
        <f t="shared" si="36"/>
        <v>557.6865165165168</v>
      </c>
      <c r="T592">
        <f t="shared" si="37"/>
        <v>153</v>
      </c>
      <c r="U592">
        <f t="shared" si="38"/>
        <v>1.9139139139139139</v>
      </c>
      <c r="V592">
        <f t="shared" si="39"/>
        <v>557.6865165165168</v>
      </c>
    </row>
    <row r="593" spans="1:22" x14ac:dyDescent="0.25">
      <c r="A593">
        <v>1082</v>
      </c>
      <c r="B593" s="1">
        <v>44441</v>
      </c>
      <c r="C593" t="s">
        <v>54</v>
      </c>
      <c r="D593" t="s">
        <v>18</v>
      </c>
      <c r="E593" t="s">
        <v>28</v>
      </c>
      <c r="F593" t="s">
        <v>33</v>
      </c>
      <c r="G593" t="s">
        <v>78</v>
      </c>
      <c r="H593" t="s">
        <v>38</v>
      </c>
      <c r="I593" t="s">
        <v>23</v>
      </c>
      <c r="J593" t="s">
        <v>30</v>
      </c>
      <c r="K593" t="s">
        <v>25</v>
      </c>
      <c r="L593">
        <v>1</v>
      </c>
      <c r="M593">
        <v>4</v>
      </c>
      <c r="N593">
        <v>1</v>
      </c>
      <c r="O593">
        <v>5</v>
      </c>
      <c r="P593">
        <v>662.15</v>
      </c>
      <c r="Q593">
        <v>45</v>
      </c>
      <c r="S593">
        <f t="shared" si="36"/>
        <v>557.6865165165168</v>
      </c>
      <c r="T593">
        <f t="shared" si="37"/>
        <v>153</v>
      </c>
      <c r="U593">
        <f t="shared" si="38"/>
        <v>1.9139139139139139</v>
      </c>
      <c r="V593">
        <f t="shared" si="39"/>
        <v>557.6865165165168</v>
      </c>
    </row>
    <row r="594" spans="1:22" x14ac:dyDescent="0.25">
      <c r="A594">
        <v>1083</v>
      </c>
      <c r="B594" s="1">
        <v>45137</v>
      </c>
      <c r="C594" t="s">
        <v>49</v>
      </c>
      <c r="D594" t="s">
        <v>18</v>
      </c>
      <c r="E594" t="s">
        <v>28</v>
      </c>
      <c r="F594" t="s">
        <v>27</v>
      </c>
      <c r="G594" t="s">
        <v>78</v>
      </c>
      <c r="H594" t="s">
        <v>29</v>
      </c>
      <c r="I594" t="s">
        <v>23</v>
      </c>
      <c r="J594" t="s">
        <v>24</v>
      </c>
      <c r="K594" t="s">
        <v>25</v>
      </c>
      <c r="L594">
        <v>5</v>
      </c>
      <c r="M594">
        <v>5</v>
      </c>
      <c r="N594">
        <v>3</v>
      </c>
      <c r="O594">
        <v>4</v>
      </c>
      <c r="P594">
        <v>869.89</v>
      </c>
      <c r="Q594">
        <v>60</v>
      </c>
      <c r="S594">
        <f t="shared" si="36"/>
        <v>557.6865165165168</v>
      </c>
      <c r="T594">
        <f t="shared" si="37"/>
        <v>153</v>
      </c>
      <c r="U594">
        <f t="shared" si="38"/>
        <v>1.9139139139139139</v>
      </c>
      <c r="V594">
        <f t="shared" si="39"/>
        <v>557.6865165165168</v>
      </c>
    </row>
    <row r="595" spans="1:22" x14ac:dyDescent="0.25">
      <c r="A595">
        <v>1084</v>
      </c>
      <c r="B595" s="1">
        <v>45104</v>
      </c>
      <c r="C595" t="s">
        <v>31</v>
      </c>
      <c r="D595" t="s">
        <v>18</v>
      </c>
      <c r="E595" t="s">
        <v>19</v>
      </c>
      <c r="F595" t="s">
        <v>20</v>
      </c>
      <c r="G595" t="s">
        <v>78</v>
      </c>
      <c r="H595" t="s">
        <v>50</v>
      </c>
      <c r="I595" t="s">
        <v>23</v>
      </c>
      <c r="J595" t="s">
        <v>30</v>
      </c>
      <c r="K595" t="s">
        <v>25</v>
      </c>
      <c r="L595">
        <v>1</v>
      </c>
      <c r="M595">
        <v>2</v>
      </c>
      <c r="N595">
        <v>4</v>
      </c>
      <c r="O595">
        <v>3</v>
      </c>
      <c r="P595">
        <v>295.39999999999998</v>
      </c>
      <c r="Q595">
        <v>34</v>
      </c>
      <c r="S595">
        <f t="shared" si="36"/>
        <v>557.6865165165168</v>
      </c>
      <c r="T595">
        <f t="shared" si="37"/>
        <v>153</v>
      </c>
      <c r="U595">
        <f t="shared" si="38"/>
        <v>1.9139139139139139</v>
      </c>
      <c r="V595">
        <f t="shared" si="39"/>
        <v>557.6865165165168</v>
      </c>
    </row>
    <row r="596" spans="1:22" x14ac:dyDescent="0.25">
      <c r="A596">
        <v>1085</v>
      </c>
      <c r="B596" s="1">
        <v>44647</v>
      </c>
      <c r="C596" t="s">
        <v>60</v>
      </c>
      <c r="D596" t="s">
        <v>18</v>
      </c>
      <c r="E596" t="s">
        <v>19</v>
      </c>
      <c r="F596" t="s">
        <v>33</v>
      </c>
      <c r="G596" t="s">
        <v>78</v>
      </c>
      <c r="H596" t="s">
        <v>38</v>
      </c>
      <c r="I596" t="s">
        <v>23</v>
      </c>
      <c r="J596" t="s">
        <v>30</v>
      </c>
      <c r="K596" t="s">
        <v>25</v>
      </c>
      <c r="L596">
        <v>5</v>
      </c>
      <c r="M596">
        <v>5</v>
      </c>
      <c r="N596">
        <v>3</v>
      </c>
      <c r="O596">
        <v>5</v>
      </c>
      <c r="P596">
        <v>993.13</v>
      </c>
      <c r="Q596">
        <v>70</v>
      </c>
      <c r="S596">
        <f t="shared" si="36"/>
        <v>557.6865165165168</v>
      </c>
      <c r="T596">
        <f t="shared" si="37"/>
        <v>153</v>
      </c>
      <c r="U596">
        <f t="shared" si="38"/>
        <v>1.9139139139139139</v>
      </c>
      <c r="V596">
        <f t="shared" si="39"/>
        <v>557.6865165165168</v>
      </c>
    </row>
    <row r="597" spans="1:22" x14ac:dyDescent="0.25">
      <c r="A597">
        <v>1086</v>
      </c>
      <c r="B597" s="1">
        <v>44785</v>
      </c>
      <c r="C597" t="s">
        <v>52</v>
      </c>
      <c r="D597" t="s">
        <v>18</v>
      </c>
      <c r="E597" t="s">
        <v>19</v>
      </c>
      <c r="F597" t="s">
        <v>27</v>
      </c>
      <c r="G597" t="s">
        <v>78</v>
      </c>
      <c r="H597" t="s">
        <v>41</v>
      </c>
      <c r="I597" t="s">
        <v>23</v>
      </c>
      <c r="J597" t="s">
        <v>24</v>
      </c>
      <c r="K597" t="s">
        <v>25</v>
      </c>
      <c r="L597">
        <v>1</v>
      </c>
      <c r="M597">
        <v>1</v>
      </c>
      <c r="N597">
        <v>5</v>
      </c>
      <c r="O597">
        <v>2</v>
      </c>
      <c r="P597">
        <v>641.69000000000005</v>
      </c>
      <c r="Q597">
        <v>49</v>
      </c>
      <c r="S597">
        <f t="shared" si="36"/>
        <v>557.6865165165168</v>
      </c>
      <c r="T597">
        <f t="shared" si="37"/>
        <v>153</v>
      </c>
      <c r="U597">
        <f t="shared" si="38"/>
        <v>1.9139139139139139</v>
      </c>
      <c r="V597">
        <f t="shared" si="39"/>
        <v>557.6865165165168</v>
      </c>
    </row>
    <row r="598" spans="1:22" x14ac:dyDescent="0.25">
      <c r="A598">
        <v>1087</v>
      </c>
      <c r="B598" s="1">
        <v>44750</v>
      </c>
      <c r="C598" t="s">
        <v>37</v>
      </c>
      <c r="D598" t="s">
        <v>18</v>
      </c>
      <c r="E598" t="s">
        <v>28</v>
      </c>
      <c r="F598" t="s">
        <v>27</v>
      </c>
      <c r="G598" t="s">
        <v>78</v>
      </c>
      <c r="H598" t="s">
        <v>41</v>
      </c>
      <c r="I598" t="s">
        <v>23</v>
      </c>
      <c r="J598" t="s">
        <v>24</v>
      </c>
      <c r="K598" t="s">
        <v>25</v>
      </c>
      <c r="L598">
        <v>1</v>
      </c>
      <c r="M598">
        <v>5</v>
      </c>
      <c r="N598">
        <v>2</v>
      </c>
      <c r="O598">
        <v>5</v>
      </c>
      <c r="P598">
        <v>197.34</v>
      </c>
      <c r="Q598">
        <v>48</v>
      </c>
      <c r="S598">
        <f t="shared" si="36"/>
        <v>557.6865165165168</v>
      </c>
      <c r="T598">
        <f t="shared" si="37"/>
        <v>153</v>
      </c>
      <c r="U598">
        <f t="shared" si="38"/>
        <v>1.9139139139139139</v>
      </c>
      <c r="V598">
        <f t="shared" si="39"/>
        <v>557.6865165165168</v>
      </c>
    </row>
    <row r="599" spans="1:22" x14ac:dyDescent="0.25">
      <c r="A599">
        <v>1088</v>
      </c>
      <c r="B599" s="1">
        <v>44058</v>
      </c>
      <c r="C599" t="s">
        <v>43</v>
      </c>
      <c r="D599" t="s">
        <v>18</v>
      </c>
      <c r="E599" t="s">
        <v>19</v>
      </c>
      <c r="F599" t="s">
        <v>33</v>
      </c>
      <c r="G599" t="s">
        <v>78</v>
      </c>
      <c r="H599" t="s">
        <v>38</v>
      </c>
      <c r="I599" t="s">
        <v>23</v>
      </c>
      <c r="J599" t="s">
        <v>24</v>
      </c>
      <c r="K599" t="s">
        <v>25</v>
      </c>
      <c r="L599">
        <v>4</v>
      </c>
      <c r="M599">
        <v>3</v>
      </c>
      <c r="N599">
        <v>1</v>
      </c>
      <c r="O599">
        <v>2</v>
      </c>
      <c r="P599">
        <v>235.15</v>
      </c>
      <c r="Q599">
        <v>29</v>
      </c>
      <c r="S599">
        <f t="shared" si="36"/>
        <v>557.6865165165168</v>
      </c>
      <c r="T599">
        <f t="shared" si="37"/>
        <v>153</v>
      </c>
      <c r="U599">
        <f t="shared" si="38"/>
        <v>1.9139139139139139</v>
      </c>
      <c r="V599">
        <f t="shared" si="39"/>
        <v>557.6865165165168</v>
      </c>
    </row>
    <row r="600" spans="1:22" x14ac:dyDescent="0.25">
      <c r="A600">
        <v>1089</v>
      </c>
      <c r="B600" s="1">
        <v>45073</v>
      </c>
      <c r="C600" t="s">
        <v>40</v>
      </c>
      <c r="D600" t="s">
        <v>18</v>
      </c>
      <c r="E600" t="s">
        <v>32</v>
      </c>
      <c r="F600" t="s">
        <v>27</v>
      </c>
      <c r="G600" t="s">
        <v>78</v>
      </c>
      <c r="H600" t="s">
        <v>67</v>
      </c>
      <c r="I600" t="s">
        <v>23</v>
      </c>
      <c r="J600" t="s">
        <v>24</v>
      </c>
      <c r="K600" t="s">
        <v>25</v>
      </c>
      <c r="L600">
        <v>3</v>
      </c>
      <c r="M600">
        <v>1</v>
      </c>
      <c r="N600">
        <v>5</v>
      </c>
      <c r="O600">
        <v>2</v>
      </c>
      <c r="P600">
        <v>697.28</v>
      </c>
      <c r="Q600">
        <v>70</v>
      </c>
      <c r="S600">
        <f t="shared" si="36"/>
        <v>557.6865165165168</v>
      </c>
      <c r="T600">
        <f t="shared" si="37"/>
        <v>153</v>
      </c>
      <c r="U600">
        <f t="shared" si="38"/>
        <v>1.9139139139139139</v>
      </c>
      <c r="V600">
        <f t="shared" si="39"/>
        <v>557.6865165165168</v>
      </c>
    </row>
    <row r="601" spans="1:22" x14ac:dyDescent="0.25">
      <c r="A601">
        <v>1090</v>
      </c>
      <c r="B601" s="1">
        <v>44928</v>
      </c>
      <c r="C601" t="s">
        <v>17</v>
      </c>
      <c r="D601" t="s">
        <v>18</v>
      </c>
      <c r="E601" t="s">
        <v>28</v>
      </c>
      <c r="F601" t="s">
        <v>20</v>
      </c>
      <c r="G601" t="s">
        <v>78</v>
      </c>
      <c r="H601" t="s">
        <v>41</v>
      </c>
      <c r="I601" t="s">
        <v>23</v>
      </c>
      <c r="J601" t="s">
        <v>24</v>
      </c>
      <c r="K601" t="s">
        <v>25</v>
      </c>
      <c r="L601">
        <v>4</v>
      </c>
      <c r="M601">
        <v>3</v>
      </c>
      <c r="N601">
        <v>4</v>
      </c>
      <c r="O601">
        <v>1</v>
      </c>
      <c r="P601">
        <v>910.33</v>
      </c>
      <c r="Q601">
        <v>58</v>
      </c>
      <c r="S601">
        <f t="shared" si="36"/>
        <v>557.6865165165168</v>
      </c>
      <c r="T601">
        <f t="shared" si="37"/>
        <v>153</v>
      </c>
      <c r="U601">
        <f t="shared" si="38"/>
        <v>1.9139139139139139</v>
      </c>
      <c r="V601">
        <f t="shared" si="39"/>
        <v>557.6865165165168</v>
      </c>
    </row>
    <row r="602" spans="1:22" x14ac:dyDescent="0.25">
      <c r="A602">
        <v>1091</v>
      </c>
      <c r="B602" s="1">
        <v>43420</v>
      </c>
      <c r="C602" t="s">
        <v>60</v>
      </c>
      <c r="D602" t="s">
        <v>18</v>
      </c>
      <c r="E602" t="s">
        <v>19</v>
      </c>
      <c r="F602" t="s">
        <v>33</v>
      </c>
      <c r="G602" t="s">
        <v>21</v>
      </c>
      <c r="H602" t="s">
        <v>35</v>
      </c>
      <c r="I602" t="s">
        <v>23</v>
      </c>
      <c r="J602" t="s">
        <v>30</v>
      </c>
      <c r="K602" t="s">
        <v>25</v>
      </c>
      <c r="L602">
        <v>2</v>
      </c>
      <c r="M602">
        <v>4</v>
      </c>
      <c r="N602">
        <v>3</v>
      </c>
      <c r="O602">
        <v>2</v>
      </c>
      <c r="P602">
        <v>213.91</v>
      </c>
      <c r="Q602">
        <v>32</v>
      </c>
      <c r="S602">
        <f t="shared" si="36"/>
        <v>557.6865165165168</v>
      </c>
      <c r="T602">
        <f t="shared" si="37"/>
        <v>153</v>
      </c>
      <c r="U602">
        <f t="shared" si="38"/>
        <v>1.9139139139139139</v>
      </c>
      <c r="V602">
        <f t="shared" si="39"/>
        <v>557.6865165165168</v>
      </c>
    </row>
    <row r="603" spans="1:22" x14ac:dyDescent="0.25">
      <c r="A603">
        <v>1092</v>
      </c>
      <c r="B603" s="1">
        <v>44754</v>
      </c>
      <c r="C603" t="s">
        <v>60</v>
      </c>
      <c r="D603" t="s">
        <v>18</v>
      </c>
      <c r="E603" t="s">
        <v>28</v>
      </c>
      <c r="F603" t="s">
        <v>20</v>
      </c>
      <c r="G603" t="s">
        <v>21</v>
      </c>
      <c r="H603" t="s">
        <v>41</v>
      </c>
      <c r="I603" t="s">
        <v>23</v>
      </c>
      <c r="J603" t="s">
        <v>24</v>
      </c>
      <c r="K603" t="s">
        <v>25</v>
      </c>
      <c r="L603">
        <v>1</v>
      </c>
      <c r="M603">
        <v>4</v>
      </c>
      <c r="N603">
        <v>1</v>
      </c>
      <c r="O603">
        <v>5</v>
      </c>
      <c r="P603">
        <v>971.46</v>
      </c>
      <c r="Q603">
        <v>52</v>
      </c>
      <c r="S603">
        <f t="shared" si="36"/>
        <v>557.6865165165168</v>
      </c>
      <c r="T603">
        <f t="shared" si="37"/>
        <v>153</v>
      </c>
      <c r="U603">
        <f t="shared" si="38"/>
        <v>1.9139139139139139</v>
      </c>
      <c r="V603">
        <f t="shared" si="39"/>
        <v>557.6865165165168</v>
      </c>
    </row>
    <row r="604" spans="1:22" x14ac:dyDescent="0.25">
      <c r="A604">
        <v>1093</v>
      </c>
      <c r="B604" s="1">
        <v>44911</v>
      </c>
      <c r="C604" t="s">
        <v>49</v>
      </c>
      <c r="D604" t="s">
        <v>18</v>
      </c>
      <c r="E604" t="s">
        <v>19</v>
      </c>
      <c r="F604" t="s">
        <v>33</v>
      </c>
      <c r="G604" t="s">
        <v>21</v>
      </c>
      <c r="H604" t="s">
        <v>47</v>
      </c>
      <c r="I604" t="s">
        <v>23</v>
      </c>
      <c r="J604" t="s">
        <v>24</v>
      </c>
      <c r="K604" t="s">
        <v>25</v>
      </c>
      <c r="L604">
        <v>3</v>
      </c>
      <c r="M604">
        <v>1</v>
      </c>
      <c r="N604">
        <v>4</v>
      </c>
      <c r="O604">
        <v>5</v>
      </c>
      <c r="P604">
        <v>995.52</v>
      </c>
      <c r="Q604">
        <v>43</v>
      </c>
      <c r="S604">
        <f t="shared" si="36"/>
        <v>557.6865165165168</v>
      </c>
      <c r="T604">
        <f t="shared" si="37"/>
        <v>153</v>
      </c>
      <c r="U604">
        <f t="shared" si="38"/>
        <v>1.9139139139139139</v>
      </c>
      <c r="V604">
        <f t="shared" si="39"/>
        <v>557.6865165165168</v>
      </c>
    </row>
    <row r="605" spans="1:22" x14ac:dyDescent="0.25">
      <c r="A605">
        <v>1094</v>
      </c>
      <c r="B605" s="1">
        <v>45054</v>
      </c>
      <c r="C605" t="s">
        <v>26</v>
      </c>
      <c r="D605" t="s">
        <v>18</v>
      </c>
      <c r="E605" t="s">
        <v>28</v>
      </c>
      <c r="F605" t="s">
        <v>27</v>
      </c>
      <c r="G605" t="s">
        <v>21</v>
      </c>
      <c r="H605" t="s">
        <v>41</v>
      </c>
      <c r="I605" t="s">
        <v>23</v>
      </c>
      <c r="J605" t="s">
        <v>24</v>
      </c>
      <c r="K605" t="s">
        <v>25</v>
      </c>
      <c r="L605">
        <v>5</v>
      </c>
      <c r="M605">
        <v>4</v>
      </c>
      <c r="N605">
        <v>5</v>
      </c>
      <c r="O605">
        <v>4</v>
      </c>
      <c r="P605">
        <v>161.4</v>
      </c>
      <c r="Q605">
        <v>29</v>
      </c>
      <c r="S605">
        <f t="shared" si="36"/>
        <v>557.6865165165168</v>
      </c>
      <c r="T605">
        <f t="shared" si="37"/>
        <v>153</v>
      </c>
      <c r="U605">
        <f t="shared" si="38"/>
        <v>1.9139139139139139</v>
      </c>
      <c r="V605">
        <f t="shared" si="39"/>
        <v>557.6865165165168</v>
      </c>
    </row>
    <row r="606" spans="1:22" x14ac:dyDescent="0.25">
      <c r="A606">
        <v>1095</v>
      </c>
      <c r="B606" s="1">
        <v>45023</v>
      </c>
      <c r="C606" t="s">
        <v>43</v>
      </c>
      <c r="D606" t="s">
        <v>18</v>
      </c>
      <c r="E606" t="s">
        <v>32</v>
      </c>
      <c r="F606" t="s">
        <v>27</v>
      </c>
      <c r="G606" t="s">
        <v>21</v>
      </c>
      <c r="H606" t="s">
        <v>47</v>
      </c>
      <c r="I606" t="s">
        <v>23</v>
      </c>
      <c r="J606" t="s">
        <v>24</v>
      </c>
      <c r="K606" t="s">
        <v>25</v>
      </c>
      <c r="L606">
        <v>1</v>
      </c>
      <c r="M606">
        <v>2</v>
      </c>
      <c r="N606">
        <v>1</v>
      </c>
      <c r="O606">
        <v>4</v>
      </c>
      <c r="P606">
        <v>715.87</v>
      </c>
      <c r="Q606">
        <v>82</v>
      </c>
      <c r="S606">
        <f t="shared" si="36"/>
        <v>557.6865165165168</v>
      </c>
      <c r="T606">
        <f t="shared" si="37"/>
        <v>153</v>
      </c>
      <c r="U606">
        <f t="shared" si="38"/>
        <v>1.9139139139139139</v>
      </c>
      <c r="V606">
        <f t="shared" si="39"/>
        <v>557.6865165165168</v>
      </c>
    </row>
    <row r="607" spans="1:22" x14ac:dyDescent="0.25">
      <c r="A607">
        <v>1096</v>
      </c>
      <c r="B607" s="1">
        <v>44607</v>
      </c>
      <c r="C607" t="s">
        <v>60</v>
      </c>
      <c r="D607" t="s">
        <v>18</v>
      </c>
      <c r="E607" t="s">
        <v>28</v>
      </c>
      <c r="F607" t="s">
        <v>20</v>
      </c>
      <c r="G607" t="s">
        <v>21</v>
      </c>
      <c r="H607" t="s">
        <v>66</v>
      </c>
      <c r="I607" t="s">
        <v>23</v>
      </c>
      <c r="J607" t="s">
        <v>24</v>
      </c>
      <c r="K607" t="s">
        <v>25</v>
      </c>
      <c r="L607">
        <v>1</v>
      </c>
      <c r="M607">
        <v>3</v>
      </c>
      <c r="N607">
        <v>2</v>
      </c>
      <c r="O607">
        <v>5</v>
      </c>
      <c r="P607">
        <v>778.25</v>
      </c>
      <c r="Q607">
        <v>49</v>
      </c>
      <c r="S607">
        <f t="shared" si="36"/>
        <v>557.6865165165168</v>
      </c>
      <c r="T607">
        <f t="shared" si="37"/>
        <v>153</v>
      </c>
      <c r="U607">
        <f t="shared" si="38"/>
        <v>1.9139139139139139</v>
      </c>
      <c r="V607">
        <f t="shared" si="39"/>
        <v>557.6865165165168</v>
      </c>
    </row>
    <row r="608" spans="1:22" x14ac:dyDescent="0.25">
      <c r="A608">
        <v>1097</v>
      </c>
      <c r="B608" s="1">
        <v>45124</v>
      </c>
      <c r="C608" t="s">
        <v>52</v>
      </c>
      <c r="D608" t="s">
        <v>18</v>
      </c>
      <c r="E608" t="s">
        <v>19</v>
      </c>
      <c r="F608" t="s">
        <v>33</v>
      </c>
      <c r="G608" t="s">
        <v>21</v>
      </c>
      <c r="H608" t="s">
        <v>41</v>
      </c>
      <c r="I608" t="s">
        <v>23</v>
      </c>
      <c r="J608" t="s">
        <v>30</v>
      </c>
      <c r="K608" t="s">
        <v>25</v>
      </c>
      <c r="L608">
        <v>1</v>
      </c>
      <c r="M608">
        <v>2</v>
      </c>
      <c r="N608">
        <v>5</v>
      </c>
      <c r="O608">
        <v>1</v>
      </c>
      <c r="P608">
        <v>609.5</v>
      </c>
      <c r="Q608">
        <v>24</v>
      </c>
      <c r="S608">
        <f t="shared" si="36"/>
        <v>557.6865165165168</v>
      </c>
      <c r="T608">
        <f t="shared" si="37"/>
        <v>153</v>
      </c>
      <c r="U608">
        <f t="shared" si="38"/>
        <v>1.9139139139139139</v>
      </c>
      <c r="V608">
        <f t="shared" si="39"/>
        <v>557.6865165165168</v>
      </c>
    </row>
    <row r="609" spans="1:22" x14ac:dyDescent="0.25">
      <c r="A609">
        <v>1098</v>
      </c>
      <c r="B609" s="1">
        <v>43588</v>
      </c>
      <c r="C609" t="s">
        <v>31</v>
      </c>
      <c r="D609" t="s">
        <v>84</v>
      </c>
      <c r="E609" t="s">
        <v>28</v>
      </c>
      <c r="F609" t="s">
        <v>27</v>
      </c>
      <c r="G609" t="s">
        <v>21</v>
      </c>
      <c r="H609" t="s">
        <v>44</v>
      </c>
      <c r="I609" t="s">
        <v>23</v>
      </c>
      <c r="J609" t="s">
        <v>30</v>
      </c>
      <c r="K609" t="s">
        <v>25</v>
      </c>
      <c r="L609">
        <v>2</v>
      </c>
      <c r="M609">
        <v>2</v>
      </c>
      <c r="N609">
        <v>2</v>
      </c>
      <c r="O609">
        <v>5</v>
      </c>
      <c r="P609">
        <v>666.67</v>
      </c>
      <c r="Q609">
        <v>26</v>
      </c>
      <c r="S609">
        <f t="shared" si="36"/>
        <v>557.6865165165168</v>
      </c>
      <c r="T609">
        <f t="shared" si="37"/>
        <v>153</v>
      </c>
      <c r="U609">
        <f t="shared" si="38"/>
        <v>1.9139139139139139</v>
      </c>
      <c r="V609">
        <f t="shared" si="39"/>
        <v>557.6865165165168</v>
      </c>
    </row>
    <row r="610" spans="1:22" x14ac:dyDescent="0.25">
      <c r="A610">
        <v>1099</v>
      </c>
      <c r="B610" s="1">
        <v>44645</v>
      </c>
      <c r="C610" t="s">
        <v>52</v>
      </c>
      <c r="D610" t="s">
        <v>18</v>
      </c>
      <c r="E610" t="s">
        <v>28</v>
      </c>
      <c r="F610" t="s">
        <v>27</v>
      </c>
      <c r="G610" t="s">
        <v>21</v>
      </c>
      <c r="H610" t="s">
        <v>41</v>
      </c>
      <c r="I610" t="s">
        <v>23</v>
      </c>
      <c r="J610" t="s">
        <v>24</v>
      </c>
      <c r="K610" t="s">
        <v>25</v>
      </c>
      <c r="L610">
        <v>1</v>
      </c>
      <c r="M610">
        <v>5</v>
      </c>
      <c r="N610">
        <v>5</v>
      </c>
      <c r="O610">
        <v>5</v>
      </c>
      <c r="P610">
        <v>797.05</v>
      </c>
      <c r="Q610">
        <v>51</v>
      </c>
      <c r="S610">
        <f t="shared" si="36"/>
        <v>557.6865165165168</v>
      </c>
      <c r="T610">
        <f t="shared" si="37"/>
        <v>153</v>
      </c>
      <c r="U610">
        <f t="shared" si="38"/>
        <v>1.9139139139139139</v>
      </c>
      <c r="V610">
        <f t="shared" si="39"/>
        <v>557.6865165165168</v>
      </c>
    </row>
    <row r="611" spans="1:22" x14ac:dyDescent="0.25">
      <c r="A611">
        <v>1100</v>
      </c>
      <c r="B611" s="1">
        <v>43928</v>
      </c>
      <c r="C611" t="s">
        <v>26</v>
      </c>
      <c r="D611" t="s">
        <v>18</v>
      </c>
      <c r="E611" t="s">
        <v>32</v>
      </c>
      <c r="F611" t="s">
        <v>20</v>
      </c>
      <c r="G611" t="s">
        <v>21</v>
      </c>
      <c r="H611" t="s">
        <v>41</v>
      </c>
      <c r="I611" t="s">
        <v>23</v>
      </c>
      <c r="J611" t="s">
        <v>30</v>
      </c>
      <c r="K611" t="s">
        <v>25</v>
      </c>
      <c r="L611">
        <v>1</v>
      </c>
      <c r="M611">
        <v>4</v>
      </c>
      <c r="N611">
        <v>5</v>
      </c>
      <c r="O611">
        <v>3</v>
      </c>
      <c r="P611">
        <v>518.55999999999995</v>
      </c>
      <c r="Q611">
        <v>56</v>
      </c>
      <c r="S611">
        <f t="shared" si="36"/>
        <v>557.6865165165168</v>
      </c>
      <c r="T611">
        <f t="shared" si="37"/>
        <v>153</v>
      </c>
      <c r="U611">
        <f t="shared" si="38"/>
        <v>1.9139139139139139</v>
      </c>
      <c r="V611">
        <f t="shared" si="39"/>
        <v>557.6865165165168</v>
      </c>
    </row>
    <row r="612" spans="1:22" x14ac:dyDescent="0.25">
      <c r="A612">
        <v>1101</v>
      </c>
      <c r="B612" s="1">
        <v>44265</v>
      </c>
      <c r="C612" t="s">
        <v>37</v>
      </c>
      <c r="D612" t="s">
        <v>18</v>
      </c>
      <c r="E612" t="s">
        <v>32</v>
      </c>
      <c r="F612" t="s">
        <v>27</v>
      </c>
      <c r="G612" t="s">
        <v>21</v>
      </c>
      <c r="H612" t="s">
        <v>47</v>
      </c>
      <c r="I612" t="s">
        <v>23</v>
      </c>
      <c r="J612" t="s">
        <v>24</v>
      </c>
      <c r="K612" t="s">
        <v>25</v>
      </c>
      <c r="L612">
        <v>1</v>
      </c>
      <c r="M612">
        <v>1</v>
      </c>
      <c r="N612">
        <v>3</v>
      </c>
      <c r="O612">
        <v>5</v>
      </c>
      <c r="P612">
        <v>426.82</v>
      </c>
      <c r="Q612">
        <v>77</v>
      </c>
      <c r="S612">
        <f t="shared" si="36"/>
        <v>557.6865165165168</v>
      </c>
      <c r="T612">
        <f t="shared" si="37"/>
        <v>153</v>
      </c>
      <c r="U612">
        <f t="shared" si="38"/>
        <v>1.9139139139139139</v>
      </c>
      <c r="V612">
        <f t="shared" si="39"/>
        <v>557.6865165165168</v>
      </c>
    </row>
    <row r="613" spans="1:22" x14ac:dyDescent="0.25">
      <c r="A613">
        <v>1102</v>
      </c>
      <c r="B613" s="1">
        <v>43681</v>
      </c>
      <c r="C613" t="s">
        <v>26</v>
      </c>
      <c r="D613" t="s">
        <v>18</v>
      </c>
      <c r="E613" t="s">
        <v>28</v>
      </c>
      <c r="F613" t="s">
        <v>27</v>
      </c>
      <c r="G613" t="s">
        <v>21</v>
      </c>
      <c r="H613" t="s">
        <v>38</v>
      </c>
      <c r="I613" t="s">
        <v>23</v>
      </c>
      <c r="J613" t="s">
        <v>24</v>
      </c>
      <c r="K613" t="s">
        <v>25</v>
      </c>
      <c r="L613">
        <v>5</v>
      </c>
      <c r="M613">
        <v>1</v>
      </c>
      <c r="N613">
        <v>4</v>
      </c>
      <c r="O613">
        <v>2</v>
      </c>
      <c r="P613">
        <v>150.04</v>
      </c>
      <c r="Q613">
        <v>66</v>
      </c>
      <c r="S613">
        <f t="shared" si="36"/>
        <v>557.6865165165168</v>
      </c>
      <c r="T613">
        <f t="shared" si="37"/>
        <v>153</v>
      </c>
      <c r="U613">
        <f t="shared" si="38"/>
        <v>1.9139139139139139</v>
      </c>
      <c r="V613">
        <f t="shared" si="39"/>
        <v>557.6865165165168</v>
      </c>
    </row>
    <row r="614" spans="1:22" x14ac:dyDescent="0.25">
      <c r="A614">
        <v>1103</v>
      </c>
      <c r="B614" s="1">
        <v>44297</v>
      </c>
      <c r="C614" t="s">
        <v>40</v>
      </c>
      <c r="D614" t="s">
        <v>84</v>
      </c>
      <c r="E614" t="s">
        <v>32</v>
      </c>
      <c r="F614" t="s">
        <v>20</v>
      </c>
      <c r="G614" t="s">
        <v>21</v>
      </c>
      <c r="H614" t="s">
        <v>56</v>
      </c>
      <c r="I614" t="s">
        <v>23</v>
      </c>
      <c r="J614" t="s">
        <v>30</v>
      </c>
      <c r="K614" t="s">
        <v>25</v>
      </c>
      <c r="L614">
        <v>5</v>
      </c>
      <c r="M614">
        <v>3</v>
      </c>
      <c r="N614">
        <v>1</v>
      </c>
      <c r="O614">
        <v>3</v>
      </c>
      <c r="P614">
        <v>308.20999999999998</v>
      </c>
      <c r="Q614">
        <v>64</v>
      </c>
      <c r="S614">
        <f t="shared" si="36"/>
        <v>557.6865165165168</v>
      </c>
      <c r="T614">
        <f t="shared" si="37"/>
        <v>153</v>
      </c>
      <c r="U614">
        <f t="shared" si="38"/>
        <v>1.9139139139139139</v>
      </c>
      <c r="V614">
        <f t="shared" si="39"/>
        <v>557.6865165165168</v>
      </c>
    </row>
    <row r="615" spans="1:22" x14ac:dyDescent="0.25">
      <c r="A615">
        <v>1104</v>
      </c>
      <c r="B615" s="1">
        <v>43632</v>
      </c>
      <c r="C615" t="s">
        <v>60</v>
      </c>
      <c r="D615" t="s">
        <v>18</v>
      </c>
      <c r="E615" t="s">
        <v>28</v>
      </c>
      <c r="F615" t="s">
        <v>20</v>
      </c>
      <c r="G615" t="s">
        <v>21</v>
      </c>
      <c r="H615" t="s">
        <v>44</v>
      </c>
      <c r="I615" t="s">
        <v>23</v>
      </c>
      <c r="J615" t="s">
        <v>30</v>
      </c>
      <c r="K615" t="s">
        <v>25</v>
      </c>
      <c r="L615">
        <v>1</v>
      </c>
      <c r="M615">
        <v>4</v>
      </c>
      <c r="N615">
        <v>2</v>
      </c>
      <c r="O615">
        <v>4</v>
      </c>
      <c r="P615">
        <v>766.77</v>
      </c>
      <c r="Q615">
        <v>24</v>
      </c>
      <c r="S615">
        <f t="shared" si="36"/>
        <v>557.6865165165168</v>
      </c>
      <c r="T615">
        <f t="shared" si="37"/>
        <v>153</v>
      </c>
      <c r="U615">
        <f t="shared" si="38"/>
        <v>1.9139139139139139</v>
      </c>
      <c r="V615">
        <f t="shared" si="39"/>
        <v>557.6865165165168</v>
      </c>
    </row>
    <row r="616" spans="1:22" x14ac:dyDescent="0.25">
      <c r="A616">
        <v>1105</v>
      </c>
      <c r="B616" s="1">
        <v>44112</v>
      </c>
      <c r="C616" t="s">
        <v>31</v>
      </c>
      <c r="D616" t="s">
        <v>84</v>
      </c>
      <c r="E616" t="s">
        <v>19</v>
      </c>
      <c r="F616" t="s">
        <v>27</v>
      </c>
      <c r="G616" t="s">
        <v>21</v>
      </c>
      <c r="H616" t="s">
        <v>38</v>
      </c>
      <c r="I616" t="s">
        <v>23</v>
      </c>
      <c r="J616" t="s">
        <v>24</v>
      </c>
      <c r="K616" t="s">
        <v>25</v>
      </c>
      <c r="L616">
        <v>1</v>
      </c>
      <c r="M616">
        <v>4</v>
      </c>
      <c r="N616">
        <v>1</v>
      </c>
      <c r="O616">
        <v>4</v>
      </c>
      <c r="P616">
        <v>172.19</v>
      </c>
      <c r="Q616">
        <v>72</v>
      </c>
      <c r="S616">
        <f t="shared" si="36"/>
        <v>557.6865165165168</v>
      </c>
      <c r="T616">
        <f t="shared" si="37"/>
        <v>153</v>
      </c>
      <c r="U616">
        <f t="shared" si="38"/>
        <v>1.9139139139139139</v>
      </c>
      <c r="V616">
        <f t="shared" si="39"/>
        <v>557.6865165165168</v>
      </c>
    </row>
    <row r="617" spans="1:22" x14ac:dyDescent="0.25">
      <c r="A617">
        <v>1106</v>
      </c>
      <c r="B617" s="1">
        <v>44426</v>
      </c>
      <c r="C617" t="s">
        <v>40</v>
      </c>
      <c r="D617" t="s">
        <v>18</v>
      </c>
      <c r="E617" t="s">
        <v>32</v>
      </c>
      <c r="F617" t="s">
        <v>33</v>
      </c>
      <c r="G617" t="s">
        <v>21</v>
      </c>
      <c r="H617" t="s">
        <v>29</v>
      </c>
      <c r="I617" t="s">
        <v>23</v>
      </c>
      <c r="J617" t="s">
        <v>30</v>
      </c>
      <c r="K617" t="s">
        <v>25</v>
      </c>
      <c r="L617">
        <v>2</v>
      </c>
      <c r="M617">
        <v>3</v>
      </c>
      <c r="N617">
        <v>3</v>
      </c>
      <c r="O617">
        <v>1</v>
      </c>
      <c r="P617">
        <v>742.55</v>
      </c>
      <c r="Q617">
        <v>26</v>
      </c>
      <c r="S617">
        <f t="shared" si="36"/>
        <v>557.6865165165168</v>
      </c>
      <c r="T617">
        <f t="shared" si="37"/>
        <v>153</v>
      </c>
      <c r="U617">
        <f t="shared" si="38"/>
        <v>1.9139139139139139</v>
      </c>
      <c r="V617">
        <f t="shared" si="39"/>
        <v>557.6865165165168</v>
      </c>
    </row>
    <row r="618" spans="1:22" x14ac:dyDescent="0.25">
      <c r="A618">
        <v>1107</v>
      </c>
      <c r="B618" s="1">
        <v>43906</v>
      </c>
      <c r="C618" t="s">
        <v>40</v>
      </c>
      <c r="D618" t="s">
        <v>18</v>
      </c>
      <c r="E618" t="s">
        <v>19</v>
      </c>
      <c r="F618" t="s">
        <v>27</v>
      </c>
      <c r="G618" t="s">
        <v>21</v>
      </c>
      <c r="H618" t="s">
        <v>67</v>
      </c>
      <c r="I618" t="s">
        <v>23</v>
      </c>
      <c r="J618" t="s">
        <v>24</v>
      </c>
      <c r="K618" t="s">
        <v>25</v>
      </c>
      <c r="L618">
        <v>4</v>
      </c>
      <c r="M618">
        <v>5</v>
      </c>
      <c r="N618">
        <v>1</v>
      </c>
      <c r="O618">
        <v>2</v>
      </c>
      <c r="P618">
        <v>231.28</v>
      </c>
      <c r="Q618">
        <v>28</v>
      </c>
      <c r="S618">
        <f t="shared" si="36"/>
        <v>557.6865165165168</v>
      </c>
      <c r="T618">
        <f t="shared" si="37"/>
        <v>153</v>
      </c>
      <c r="U618">
        <f t="shared" si="38"/>
        <v>1.9139139139139139</v>
      </c>
      <c r="V618">
        <f t="shared" si="39"/>
        <v>557.6865165165168</v>
      </c>
    </row>
    <row r="619" spans="1:22" x14ac:dyDescent="0.25">
      <c r="A619">
        <v>1108</v>
      </c>
      <c r="B619" s="1">
        <v>43489</v>
      </c>
      <c r="C619" t="s">
        <v>37</v>
      </c>
      <c r="D619" t="s">
        <v>18</v>
      </c>
      <c r="E619" t="s">
        <v>32</v>
      </c>
      <c r="F619" t="s">
        <v>27</v>
      </c>
      <c r="G619" t="s">
        <v>21</v>
      </c>
      <c r="H619" t="s">
        <v>38</v>
      </c>
      <c r="I619" t="s">
        <v>23</v>
      </c>
      <c r="J619" t="s">
        <v>30</v>
      </c>
      <c r="K619" t="s">
        <v>25</v>
      </c>
      <c r="L619">
        <v>4</v>
      </c>
      <c r="M619">
        <v>5</v>
      </c>
      <c r="N619">
        <v>3</v>
      </c>
      <c r="O619">
        <v>5</v>
      </c>
      <c r="P619">
        <v>124.54</v>
      </c>
      <c r="Q619">
        <v>50</v>
      </c>
      <c r="S619">
        <f t="shared" si="36"/>
        <v>557.6865165165168</v>
      </c>
      <c r="T619">
        <f t="shared" si="37"/>
        <v>153</v>
      </c>
      <c r="U619">
        <f t="shared" si="38"/>
        <v>1.9139139139139139</v>
      </c>
      <c r="V619">
        <f t="shared" si="39"/>
        <v>557.6865165165168</v>
      </c>
    </row>
    <row r="620" spans="1:22" x14ac:dyDescent="0.25">
      <c r="A620">
        <v>1109</v>
      </c>
      <c r="B620" s="1">
        <v>44723</v>
      </c>
      <c r="C620" t="s">
        <v>26</v>
      </c>
      <c r="D620" t="s">
        <v>84</v>
      </c>
      <c r="E620" t="s">
        <v>32</v>
      </c>
      <c r="F620" t="s">
        <v>20</v>
      </c>
      <c r="G620" t="s">
        <v>21</v>
      </c>
      <c r="H620" t="s">
        <v>41</v>
      </c>
      <c r="I620" t="s">
        <v>23</v>
      </c>
      <c r="J620" t="s">
        <v>24</v>
      </c>
      <c r="K620" t="s">
        <v>25</v>
      </c>
      <c r="L620">
        <v>4</v>
      </c>
      <c r="M620">
        <v>5</v>
      </c>
      <c r="N620">
        <v>4</v>
      </c>
      <c r="O620">
        <v>5</v>
      </c>
      <c r="P620">
        <v>898.37</v>
      </c>
      <c r="Q620">
        <v>41</v>
      </c>
      <c r="S620">
        <f t="shared" si="36"/>
        <v>557.6865165165168</v>
      </c>
      <c r="T620">
        <f t="shared" si="37"/>
        <v>153</v>
      </c>
      <c r="U620">
        <f t="shared" si="38"/>
        <v>1.9139139139139139</v>
      </c>
      <c r="V620">
        <f t="shared" si="39"/>
        <v>557.6865165165168</v>
      </c>
    </row>
    <row r="621" spans="1:22" x14ac:dyDescent="0.25">
      <c r="A621">
        <v>1110</v>
      </c>
      <c r="B621" s="1">
        <v>44744</v>
      </c>
      <c r="C621" t="s">
        <v>49</v>
      </c>
      <c r="D621" t="s">
        <v>18</v>
      </c>
      <c r="E621" t="s">
        <v>32</v>
      </c>
      <c r="F621" t="s">
        <v>33</v>
      </c>
      <c r="G621" t="s">
        <v>21</v>
      </c>
      <c r="H621" t="s">
        <v>38</v>
      </c>
      <c r="I621" t="s">
        <v>23</v>
      </c>
      <c r="J621" t="s">
        <v>24</v>
      </c>
      <c r="K621" t="s">
        <v>25</v>
      </c>
      <c r="L621">
        <v>1</v>
      </c>
      <c r="M621">
        <v>1</v>
      </c>
      <c r="N621">
        <v>4</v>
      </c>
      <c r="O621">
        <v>2</v>
      </c>
      <c r="P621">
        <v>764.36</v>
      </c>
      <c r="Q621">
        <v>35</v>
      </c>
      <c r="S621">
        <f t="shared" si="36"/>
        <v>557.6865165165168</v>
      </c>
      <c r="T621">
        <f t="shared" si="37"/>
        <v>153</v>
      </c>
      <c r="U621">
        <f t="shared" si="38"/>
        <v>1.9139139139139139</v>
      </c>
      <c r="V621">
        <f t="shared" si="39"/>
        <v>557.6865165165168</v>
      </c>
    </row>
    <row r="622" spans="1:22" x14ac:dyDescent="0.25">
      <c r="A622">
        <v>1111</v>
      </c>
      <c r="B622" s="1">
        <v>43716</v>
      </c>
      <c r="C622" t="s">
        <v>40</v>
      </c>
      <c r="D622" t="s">
        <v>84</v>
      </c>
      <c r="E622" t="s">
        <v>32</v>
      </c>
      <c r="F622" t="s">
        <v>27</v>
      </c>
      <c r="G622" t="s">
        <v>21</v>
      </c>
      <c r="H622" t="s">
        <v>56</v>
      </c>
      <c r="I622" t="s">
        <v>23</v>
      </c>
      <c r="J622" t="s">
        <v>24</v>
      </c>
      <c r="K622" t="s">
        <v>25</v>
      </c>
      <c r="L622">
        <v>4</v>
      </c>
      <c r="M622">
        <v>1</v>
      </c>
      <c r="N622">
        <v>1</v>
      </c>
      <c r="O622">
        <v>5</v>
      </c>
      <c r="P622">
        <v>786.57</v>
      </c>
      <c r="Q622">
        <v>67</v>
      </c>
      <c r="S622">
        <f t="shared" si="36"/>
        <v>557.6865165165168</v>
      </c>
      <c r="T622">
        <f t="shared" si="37"/>
        <v>153</v>
      </c>
      <c r="U622">
        <f t="shared" si="38"/>
        <v>1.9139139139139139</v>
      </c>
      <c r="V622">
        <f t="shared" si="39"/>
        <v>557.6865165165168</v>
      </c>
    </row>
    <row r="623" spans="1:22" x14ac:dyDescent="0.25">
      <c r="A623">
        <v>1112</v>
      </c>
      <c r="B623" s="1">
        <v>44752</v>
      </c>
      <c r="C623" t="s">
        <v>54</v>
      </c>
      <c r="D623" t="s">
        <v>18</v>
      </c>
      <c r="E623" t="s">
        <v>32</v>
      </c>
      <c r="F623" t="s">
        <v>27</v>
      </c>
      <c r="G623" t="s">
        <v>21</v>
      </c>
      <c r="H623" t="s">
        <v>47</v>
      </c>
      <c r="I623" t="s">
        <v>23</v>
      </c>
      <c r="J623" t="s">
        <v>24</v>
      </c>
      <c r="K623" t="s">
        <v>25</v>
      </c>
      <c r="L623">
        <v>4</v>
      </c>
      <c r="M623">
        <v>1</v>
      </c>
      <c r="N623">
        <v>1</v>
      </c>
      <c r="O623">
        <v>3</v>
      </c>
      <c r="P623">
        <v>668.05</v>
      </c>
      <c r="Q623">
        <v>47</v>
      </c>
      <c r="S623">
        <f t="shared" si="36"/>
        <v>557.6865165165168</v>
      </c>
      <c r="T623">
        <f t="shared" si="37"/>
        <v>153</v>
      </c>
      <c r="U623">
        <f t="shared" si="38"/>
        <v>1.9139139139139139</v>
      </c>
      <c r="V623">
        <f t="shared" si="39"/>
        <v>557.6865165165168</v>
      </c>
    </row>
    <row r="624" spans="1:22" x14ac:dyDescent="0.25">
      <c r="A624">
        <v>1113</v>
      </c>
      <c r="B624" s="1">
        <v>44675</v>
      </c>
      <c r="C624" t="s">
        <v>49</v>
      </c>
      <c r="D624" t="s">
        <v>18</v>
      </c>
      <c r="E624" t="s">
        <v>19</v>
      </c>
      <c r="F624" t="s">
        <v>33</v>
      </c>
      <c r="G624" t="s">
        <v>21</v>
      </c>
      <c r="H624" t="s">
        <v>38</v>
      </c>
      <c r="I624" t="s">
        <v>23</v>
      </c>
      <c r="J624" t="s">
        <v>24</v>
      </c>
      <c r="K624" t="s">
        <v>25</v>
      </c>
      <c r="L624">
        <v>3</v>
      </c>
      <c r="M624">
        <v>3</v>
      </c>
      <c r="N624">
        <v>5</v>
      </c>
      <c r="O624">
        <v>2</v>
      </c>
      <c r="P624">
        <v>956.92</v>
      </c>
      <c r="Q624">
        <v>46</v>
      </c>
      <c r="S624">
        <f t="shared" si="36"/>
        <v>557.6865165165168</v>
      </c>
      <c r="T624">
        <f t="shared" si="37"/>
        <v>153</v>
      </c>
      <c r="U624">
        <f t="shared" si="38"/>
        <v>1.9139139139139139</v>
      </c>
      <c r="V624">
        <f t="shared" si="39"/>
        <v>557.6865165165168</v>
      </c>
    </row>
    <row r="625" spans="1:22" x14ac:dyDescent="0.25">
      <c r="A625">
        <v>1114</v>
      </c>
      <c r="B625" s="1">
        <v>43921</v>
      </c>
      <c r="C625" t="s">
        <v>31</v>
      </c>
      <c r="D625" t="s">
        <v>18</v>
      </c>
      <c r="E625" t="s">
        <v>32</v>
      </c>
      <c r="F625" t="s">
        <v>20</v>
      </c>
      <c r="G625" t="s">
        <v>21</v>
      </c>
      <c r="H625" t="s">
        <v>38</v>
      </c>
      <c r="I625" t="s">
        <v>23</v>
      </c>
      <c r="J625" t="s">
        <v>24</v>
      </c>
      <c r="K625" t="s">
        <v>25</v>
      </c>
      <c r="L625">
        <v>1</v>
      </c>
      <c r="M625">
        <v>3</v>
      </c>
      <c r="N625">
        <v>3</v>
      </c>
      <c r="O625">
        <v>1</v>
      </c>
      <c r="P625">
        <v>912.27</v>
      </c>
      <c r="Q625">
        <v>60</v>
      </c>
      <c r="S625">
        <f t="shared" si="36"/>
        <v>557.6865165165168</v>
      </c>
      <c r="T625">
        <f t="shared" si="37"/>
        <v>153</v>
      </c>
      <c r="U625">
        <f t="shared" si="38"/>
        <v>1.9139139139139139</v>
      </c>
      <c r="V625">
        <f t="shared" si="39"/>
        <v>557.6865165165168</v>
      </c>
    </row>
    <row r="626" spans="1:22" x14ac:dyDescent="0.25">
      <c r="A626">
        <v>1115</v>
      </c>
      <c r="B626" s="1">
        <v>43547</v>
      </c>
      <c r="C626" t="s">
        <v>60</v>
      </c>
      <c r="D626" t="s">
        <v>18</v>
      </c>
      <c r="E626" t="s">
        <v>19</v>
      </c>
      <c r="F626" t="s">
        <v>27</v>
      </c>
      <c r="G626" t="s">
        <v>21</v>
      </c>
      <c r="H626" t="s">
        <v>41</v>
      </c>
      <c r="I626" t="s">
        <v>23</v>
      </c>
      <c r="J626" t="s">
        <v>30</v>
      </c>
      <c r="K626" t="s">
        <v>25</v>
      </c>
      <c r="L626">
        <v>4</v>
      </c>
      <c r="M626">
        <v>1</v>
      </c>
      <c r="N626">
        <v>3</v>
      </c>
      <c r="O626">
        <v>4</v>
      </c>
      <c r="P626">
        <v>881.71</v>
      </c>
      <c r="Q626">
        <v>22</v>
      </c>
      <c r="S626">
        <f t="shared" si="36"/>
        <v>557.6865165165168</v>
      </c>
      <c r="T626">
        <f t="shared" si="37"/>
        <v>153</v>
      </c>
      <c r="U626">
        <f t="shared" si="38"/>
        <v>1.9139139139139139</v>
      </c>
      <c r="V626">
        <f t="shared" si="39"/>
        <v>557.6865165165168</v>
      </c>
    </row>
    <row r="627" spans="1:22" x14ac:dyDescent="0.25">
      <c r="A627">
        <v>1116</v>
      </c>
      <c r="B627" s="1">
        <v>43533</v>
      </c>
      <c r="C627" t="s">
        <v>52</v>
      </c>
      <c r="D627" t="s">
        <v>84</v>
      </c>
      <c r="E627" t="s">
        <v>32</v>
      </c>
      <c r="F627" t="s">
        <v>27</v>
      </c>
      <c r="G627" t="s">
        <v>21</v>
      </c>
      <c r="H627" t="s">
        <v>41</v>
      </c>
      <c r="I627" t="s">
        <v>23</v>
      </c>
      <c r="J627" t="s">
        <v>30</v>
      </c>
      <c r="K627" t="s">
        <v>25</v>
      </c>
      <c r="L627">
        <v>3</v>
      </c>
      <c r="M627">
        <v>4</v>
      </c>
      <c r="N627">
        <v>4</v>
      </c>
      <c r="O627">
        <v>4</v>
      </c>
      <c r="P627">
        <v>557.67999999999995</v>
      </c>
      <c r="Q627">
        <v>35</v>
      </c>
      <c r="S627">
        <f t="shared" si="36"/>
        <v>557.6865165165168</v>
      </c>
      <c r="T627">
        <f t="shared" si="37"/>
        <v>153</v>
      </c>
      <c r="U627">
        <f t="shared" si="38"/>
        <v>1.9139139139139139</v>
      </c>
      <c r="V627">
        <f t="shared" si="39"/>
        <v>557.6865165165168</v>
      </c>
    </row>
    <row r="628" spans="1:22" x14ac:dyDescent="0.25">
      <c r="A628">
        <v>1117</v>
      </c>
      <c r="B628" s="1">
        <v>43517</v>
      </c>
      <c r="C628" t="s">
        <v>37</v>
      </c>
      <c r="D628" t="s">
        <v>84</v>
      </c>
      <c r="E628" t="s">
        <v>32</v>
      </c>
      <c r="F628" t="s">
        <v>20</v>
      </c>
      <c r="G628" t="s">
        <v>21</v>
      </c>
      <c r="H628" t="s">
        <v>38</v>
      </c>
      <c r="I628" t="s">
        <v>23</v>
      </c>
      <c r="J628" t="s">
        <v>30</v>
      </c>
      <c r="K628" t="s">
        <v>25</v>
      </c>
      <c r="L628">
        <v>4</v>
      </c>
      <c r="M628">
        <v>5</v>
      </c>
      <c r="N628">
        <v>1</v>
      </c>
      <c r="O628">
        <v>4</v>
      </c>
      <c r="P628">
        <v>271.68</v>
      </c>
      <c r="Q628">
        <v>22</v>
      </c>
      <c r="S628">
        <f t="shared" si="36"/>
        <v>557.6865165165168</v>
      </c>
      <c r="T628">
        <f t="shared" si="37"/>
        <v>153</v>
      </c>
      <c r="U628">
        <f t="shared" si="38"/>
        <v>1.9139139139139139</v>
      </c>
      <c r="V628">
        <f t="shared" si="39"/>
        <v>557.6865165165168</v>
      </c>
    </row>
    <row r="629" spans="1:22" x14ac:dyDescent="0.25">
      <c r="A629">
        <v>1118</v>
      </c>
      <c r="B629" s="1">
        <v>43742</v>
      </c>
      <c r="C629" t="s">
        <v>43</v>
      </c>
      <c r="D629" t="s">
        <v>18</v>
      </c>
      <c r="E629" t="s">
        <v>32</v>
      </c>
      <c r="F629" t="s">
        <v>33</v>
      </c>
      <c r="G629" t="s">
        <v>21</v>
      </c>
      <c r="H629" t="s">
        <v>47</v>
      </c>
      <c r="I629" t="s">
        <v>23</v>
      </c>
      <c r="J629" t="s">
        <v>30</v>
      </c>
      <c r="K629" t="s">
        <v>25</v>
      </c>
      <c r="L629">
        <v>1</v>
      </c>
      <c r="M629">
        <v>5</v>
      </c>
      <c r="N629">
        <v>3</v>
      </c>
      <c r="O629">
        <v>2</v>
      </c>
      <c r="P629">
        <v>299.68</v>
      </c>
      <c r="Q629">
        <v>43</v>
      </c>
      <c r="S629">
        <f t="shared" si="36"/>
        <v>557.6865165165168</v>
      </c>
      <c r="T629">
        <f t="shared" si="37"/>
        <v>153</v>
      </c>
      <c r="U629">
        <f t="shared" si="38"/>
        <v>1.9139139139139139</v>
      </c>
      <c r="V629">
        <f t="shared" si="39"/>
        <v>557.6865165165168</v>
      </c>
    </row>
    <row r="630" spans="1:22" x14ac:dyDescent="0.25">
      <c r="A630">
        <v>1119</v>
      </c>
      <c r="B630" s="1">
        <v>43793</v>
      </c>
      <c r="C630" t="s">
        <v>40</v>
      </c>
      <c r="D630" t="s">
        <v>18</v>
      </c>
      <c r="E630" t="s">
        <v>28</v>
      </c>
      <c r="F630" t="s">
        <v>20</v>
      </c>
      <c r="G630" t="s">
        <v>21</v>
      </c>
      <c r="H630" t="s">
        <v>41</v>
      </c>
      <c r="I630" t="s">
        <v>23</v>
      </c>
      <c r="J630" t="s">
        <v>24</v>
      </c>
      <c r="K630" t="s">
        <v>25</v>
      </c>
      <c r="L630">
        <v>4</v>
      </c>
      <c r="M630">
        <v>4</v>
      </c>
      <c r="N630">
        <v>5</v>
      </c>
      <c r="O630">
        <v>5</v>
      </c>
      <c r="P630">
        <v>440.28</v>
      </c>
      <c r="Q630">
        <v>25</v>
      </c>
      <c r="S630">
        <f t="shared" si="36"/>
        <v>557.6865165165168</v>
      </c>
      <c r="T630">
        <f t="shared" si="37"/>
        <v>153</v>
      </c>
      <c r="U630">
        <f t="shared" si="38"/>
        <v>1.9139139139139139</v>
      </c>
      <c r="V630">
        <f t="shared" si="39"/>
        <v>557.6865165165168</v>
      </c>
    </row>
    <row r="631" spans="1:22" x14ac:dyDescent="0.25">
      <c r="A631">
        <v>1120</v>
      </c>
      <c r="B631" s="1">
        <v>44060</v>
      </c>
      <c r="C631" t="s">
        <v>17</v>
      </c>
      <c r="D631" t="s">
        <v>18</v>
      </c>
      <c r="E631" t="s">
        <v>28</v>
      </c>
      <c r="F631" t="s">
        <v>33</v>
      </c>
      <c r="G631" t="s">
        <v>21</v>
      </c>
      <c r="H631" t="s">
        <v>70</v>
      </c>
      <c r="I631" t="s">
        <v>23</v>
      </c>
      <c r="J631" t="s">
        <v>24</v>
      </c>
      <c r="K631" t="s">
        <v>25</v>
      </c>
      <c r="L631">
        <v>3</v>
      </c>
      <c r="M631">
        <v>3</v>
      </c>
      <c r="N631">
        <v>4</v>
      </c>
      <c r="O631">
        <v>4</v>
      </c>
      <c r="P631">
        <v>553.83000000000004</v>
      </c>
      <c r="Q631">
        <v>52</v>
      </c>
      <c r="S631">
        <f t="shared" si="36"/>
        <v>557.6865165165168</v>
      </c>
      <c r="T631">
        <f t="shared" si="37"/>
        <v>153</v>
      </c>
      <c r="U631">
        <f t="shared" si="38"/>
        <v>1.9139139139139139</v>
      </c>
      <c r="V631">
        <f t="shared" si="39"/>
        <v>557.6865165165168</v>
      </c>
    </row>
    <row r="632" spans="1:22" x14ac:dyDescent="0.25">
      <c r="A632">
        <v>1121</v>
      </c>
      <c r="B632" s="1">
        <v>44271</v>
      </c>
      <c r="C632" t="s">
        <v>26</v>
      </c>
      <c r="D632" t="s">
        <v>18</v>
      </c>
      <c r="E632" t="s">
        <v>28</v>
      </c>
      <c r="F632" t="s">
        <v>20</v>
      </c>
      <c r="G632" t="s">
        <v>21</v>
      </c>
      <c r="H632" t="s">
        <v>29</v>
      </c>
      <c r="I632" t="s">
        <v>23</v>
      </c>
      <c r="J632" t="s">
        <v>24</v>
      </c>
      <c r="K632" t="s">
        <v>25</v>
      </c>
      <c r="L632">
        <v>1</v>
      </c>
      <c r="M632">
        <v>1</v>
      </c>
      <c r="N632">
        <v>4</v>
      </c>
      <c r="O632">
        <v>1</v>
      </c>
      <c r="P632">
        <v>428.9</v>
      </c>
      <c r="Q632">
        <v>40</v>
      </c>
      <c r="S632">
        <f t="shared" si="36"/>
        <v>557.6865165165168</v>
      </c>
      <c r="T632">
        <f t="shared" si="37"/>
        <v>153</v>
      </c>
      <c r="U632">
        <f t="shared" si="38"/>
        <v>1.9139139139139139</v>
      </c>
      <c r="V632">
        <f t="shared" si="39"/>
        <v>557.6865165165168</v>
      </c>
    </row>
    <row r="633" spans="1:22" x14ac:dyDescent="0.25">
      <c r="A633">
        <v>1122</v>
      </c>
      <c r="B633" s="1">
        <v>44516</v>
      </c>
      <c r="C633" t="s">
        <v>54</v>
      </c>
      <c r="D633" t="s">
        <v>18</v>
      </c>
      <c r="E633" t="s">
        <v>19</v>
      </c>
      <c r="F633" t="s">
        <v>20</v>
      </c>
      <c r="G633" t="s">
        <v>21</v>
      </c>
      <c r="H633" t="s">
        <v>38</v>
      </c>
      <c r="I633" t="s">
        <v>23</v>
      </c>
      <c r="J633" t="s">
        <v>24</v>
      </c>
      <c r="K633" t="s">
        <v>25</v>
      </c>
      <c r="L633">
        <v>2</v>
      </c>
      <c r="M633">
        <v>1</v>
      </c>
      <c r="N633">
        <v>2</v>
      </c>
      <c r="O633">
        <v>3</v>
      </c>
      <c r="P633">
        <v>444.4</v>
      </c>
      <c r="Q633">
        <v>46</v>
      </c>
      <c r="S633">
        <f t="shared" si="36"/>
        <v>557.6865165165168</v>
      </c>
      <c r="T633">
        <f t="shared" si="37"/>
        <v>153</v>
      </c>
      <c r="U633">
        <f t="shared" si="38"/>
        <v>1.9139139139139139</v>
      </c>
      <c r="V633">
        <f t="shared" si="39"/>
        <v>557.6865165165168</v>
      </c>
    </row>
    <row r="634" spans="1:22" x14ac:dyDescent="0.25">
      <c r="A634">
        <v>1123</v>
      </c>
      <c r="B634" s="1">
        <v>44684</v>
      </c>
      <c r="C634" t="s">
        <v>49</v>
      </c>
      <c r="D634" t="s">
        <v>18</v>
      </c>
      <c r="E634" t="s">
        <v>32</v>
      </c>
      <c r="F634" t="s">
        <v>33</v>
      </c>
      <c r="G634" t="s">
        <v>21</v>
      </c>
      <c r="H634" t="s">
        <v>41</v>
      </c>
      <c r="I634" t="s">
        <v>23</v>
      </c>
      <c r="J634" t="s">
        <v>24</v>
      </c>
      <c r="K634" t="s">
        <v>25</v>
      </c>
      <c r="L634">
        <v>2</v>
      </c>
      <c r="M634">
        <v>3</v>
      </c>
      <c r="N634">
        <v>1</v>
      </c>
      <c r="O634">
        <v>4</v>
      </c>
      <c r="P634">
        <v>254.38</v>
      </c>
      <c r="Q634">
        <v>57</v>
      </c>
      <c r="S634">
        <f t="shared" si="36"/>
        <v>557.6865165165168</v>
      </c>
      <c r="T634">
        <f t="shared" si="37"/>
        <v>153</v>
      </c>
      <c r="U634">
        <f t="shared" si="38"/>
        <v>1.9139139139139139</v>
      </c>
      <c r="V634">
        <f t="shared" si="39"/>
        <v>557.6865165165168</v>
      </c>
    </row>
    <row r="635" spans="1:22" x14ac:dyDescent="0.25">
      <c r="A635">
        <v>1124</v>
      </c>
      <c r="B635" s="1">
        <v>43823</v>
      </c>
      <c r="C635" t="s">
        <v>31</v>
      </c>
      <c r="D635" t="s">
        <v>18</v>
      </c>
      <c r="E635" t="s">
        <v>32</v>
      </c>
      <c r="F635" t="s">
        <v>27</v>
      </c>
      <c r="G635" t="s">
        <v>21</v>
      </c>
      <c r="H635" t="s">
        <v>47</v>
      </c>
      <c r="I635" t="s">
        <v>23</v>
      </c>
      <c r="J635" t="s">
        <v>24</v>
      </c>
      <c r="K635" t="s">
        <v>25</v>
      </c>
      <c r="L635">
        <v>3</v>
      </c>
      <c r="M635">
        <v>2</v>
      </c>
      <c r="N635">
        <v>3</v>
      </c>
      <c r="O635">
        <v>1</v>
      </c>
      <c r="P635">
        <v>256.20999999999998</v>
      </c>
      <c r="Q635">
        <v>33</v>
      </c>
      <c r="S635">
        <f t="shared" si="36"/>
        <v>557.6865165165168</v>
      </c>
      <c r="T635">
        <f t="shared" si="37"/>
        <v>153</v>
      </c>
      <c r="U635">
        <f t="shared" si="38"/>
        <v>1.9139139139139139</v>
      </c>
      <c r="V635">
        <f t="shared" si="39"/>
        <v>557.6865165165168</v>
      </c>
    </row>
    <row r="636" spans="1:22" x14ac:dyDescent="0.25">
      <c r="A636">
        <v>1125</v>
      </c>
      <c r="B636" s="1">
        <v>44490</v>
      </c>
      <c r="C636" t="s">
        <v>43</v>
      </c>
      <c r="D636" t="s">
        <v>18</v>
      </c>
      <c r="E636" t="s">
        <v>19</v>
      </c>
      <c r="F636" t="s">
        <v>33</v>
      </c>
      <c r="G636" t="s">
        <v>21</v>
      </c>
      <c r="H636" t="s">
        <v>29</v>
      </c>
      <c r="I636" t="s">
        <v>23</v>
      </c>
      <c r="J636" t="s">
        <v>30</v>
      </c>
      <c r="K636" t="s">
        <v>25</v>
      </c>
      <c r="L636">
        <v>4</v>
      </c>
      <c r="M636">
        <v>3</v>
      </c>
      <c r="N636">
        <v>4</v>
      </c>
      <c r="O636">
        <v>2</v>
      </c>
      <c r="P636">
        <v>756.19</v>
      </c>
      <c r="Q636">
        <v>30</v>
      </c>
      <c r="S636">
        <f t="shared" si="36"/>
        <v>557.6865165165168</v>
      </c>
      <c r="T636">
        <f t="shared" si="37"/>
        <v>153</v>
      </c>
      <c r="U636">
        <f t="shared" si="38"/>
        <v>1.9139139139139139</v>
      </c>
      <c r="V636">
        <f t="shared" si="39"/>
        <v>557.6865165165168</v>
      </c>
    </row>
    <row r="637" spans="1:22" x14ac:dyDescent="0.25">
      <c r="A637">
        <v>1126</v>
      </c>
      <c r="B637" s="1">
        <v>43351</v>
      </c>
      <c r="C637" t="s">
        <v>49</v>
      </c>
      <c r="D637" t="s">
        <v>84</v>
      </c>
      <c r="E637" t="s">
        <v>28</v>
      </c>
      <c r="F637" t="s">
        <v>20</v>
      </c>
      <c r="G637" t="s">
        <v>21</v>
      </c>
      <c r="H637" t="s">
        <v>47</v>
      </c>
      <c r="I637" t="s">
        <v>23</v>
      </c>
      <c r="J637" t="s">
        <v>30</v>
      </c>
      <c r="K637" t="s">
        <v>25</v>
      </c>
      <c r="L637">
        <v>3</v>
      </c>
      <c r="M637">
        <v>3</v>
      </c>
      <c r="N637">
        <v>2</v>
      </c>
      <c r="O637">
        <v>4</v>
      </c>
      <c r="P637">
        <v>500.45</v>
      </c>
      <c r="Q637">
        <v>59</v>
      </c>
      <c r="S637">
        <f t="shared" si="36"/>
        <v>557.6865165165168</v>
      </c>
      <c r="T637">
        <f t="shared" si="37"/>
        <v>153</v>
      </c>
      <c r="U637">
        <f t="shared" si="38"/>
        <v>1.9139139139139139</v>
      </c>
      <c r="V637">
        <f t="shared" si="39"/>
        <v>557.6865165165168</v>
      </c>
    </row>
    <row r="638" spans="1:22" x14ac:dyDescent="0.25">
      <c r="A638">
        <v>1127</v>
      </c>
      <c r="B638" s="1">
        <v>43522</v>
      </c>
      <c r="C638" t="s">
        <v>31</v>
      </c>
      <c r="D638" t="s">
        <v>18</v>
      </c>
      <c r="E638" t="s">
        <v>32</v>
      </c>
      <c r="F638" t="s">
        <v>27</v>
      </c>
      <c r="G638" t="s">
        <v>21</v>
      </c>
      <c r="H638" t="s">
        <v>38</v>
      </c>
      <c r="I638" t="s">
        <v>23</v>
      </c>
      <c r="J638" t="s">
        <v>30</v>
      </c>
      <c r="K638" t="s">
        <v>25</v>
      </c>
      <c r="L638">
        <v>5</v>
      </c>
      <c r="M638">
        <v>1</v>
      </c>
      <c r="N638">
        <v>3</v>
      </c>
      <c r="O638">
        <v>2</v>
      </c>
      <c r="P638">
        <v>500.83</v>
      </c>
      <c r="Q638">
        <v>18</v>
      </c>
      <c r="S638">
        <f t="shared" si="36"/>
        <v>557.6865165165168</v>
      </c>
      <c r="T638">
        <f t="shared" si="37"/>
        <v>153</v>
      </c>
      <c r="U638">
        <f t="shared" si="38"/>
        <v>1.9139139139139139</v>
      </c>
      <c r="V638">
        <f t="shared" si="39"/>
        <v>557.6865165165168</v>
      </c>
    </row>
    <row r="639" spans="1:22" x14ac:dyDescent="0.25">
      <c r="A639">
        <v>1128</v>
      </c>
      <c r="B639" s="1">
        <v>45037</v>
      </c>
      <c r="C639" t="s">
        <v>40</v>
      </c>
      <c r="D639" t="s">
        <v>18</v>
      </c>
      <c r="E639" t="s">
        <v>28</v>
      </c>
      <c r="F639" t="s">
        <v>33</v>
      </c>
      <c r="G639" t="s">
        <v>21</v>
      </c>
      <c r="H639" t="s">
        <v>38</v>
      </c>
      <c r="I639" t="s">
        <v>23</v>
      </c>
      <c r="J639" t="s">
        <v>24</v>
      </c>
      <c r="K639" t="s">
        <v>25</v>
      </c>
      <c r="L639">
        <v>4</v>
      </c>
      <c r="M639">
        <v>2</v>
      </c>
      <c r="N639">
        <v>4</v>
      </c>
      <c r="O639">
        <v>1</v>
      </c>
      <c r="P639">
        <v>773.8</v>
      </c>
      <c r="Q639">
        <v>66</v>
      </c>
      <c r="S639">
        <f t="shared" si="36"/>
        <v>557.6865165165168</v>
      </c>
      <c r="T639">
        <f t="shared" si="37"/>
        <v>153</v>
      </c>
      <c r="U639">
        <f t="shared" si="38"/>
        <v>1.9139139139139139</v>
      </c>
      <c r="V639">
        <f t="shared" si="39"/>
        <v>557.6865165165168</v>
      </c>
    </row>
    <row r="640" spans="1:22" x14ac:dyDescent="0.25">
      <c r="A640">
        <v>1129</v>
      </c>
      <c r="B640" s="1">
        <v>43727</v>
      </c>
      <c r="C640" t="s">
        <v>17</v>
      </c>
      <c r="D640" t="s">
        <v>84</v>
      </c>
      <c r="E640" t="s">
        <v>32</v>
      </c>
      <c r="F640" t="s">
        <v>33</v>
      </c>
      <c r="G640" t="s">
        <v>21</v>
      </c>
      <c r="H640" t="s">
        <v>41</v>
      </c>
      <c r="I640" t="s">
        <v>23</v>
      </c>
      <c r="J640" t="s">
        <v>24</v>
      </c>
      <c r="K640" t="s">
        <v>25</v>
      </c>
      <c r="L640">
        <v>1</v>
      </c>
      <c r="M640">
        <v>1</v>
      </c>
      <c r="N640">
        <v>1</v>
      </c>
      <c r="O640">
        <v>2</v>
      </c>
      <c r="P640">
        <v>768.06</v>
      </c>
      <c r="Q640">
        <v>63</v>
      </c>
      <c r="S640">
        <f t="shared" si="36"/>
        <v>557.6865165165168</v>
      </c>
      <c r="T640">
        <f t="shared" si="37"/>
        <v>153</v>
      </c>
      <c r="U640">
        <f t="shared" si="38"/>
        <v>1.9139139139139139</v>
      </c>
      <c r="V640">
        <f t="shared" si="39"/>
        <v>557.6865165165168</v>
      </c>
    </row>
    <row r="641" spans="1:22" x14ac:dyDescent="0.25">
      <c r="A641">
        <v>1130</v>
      </c>
      <c r="B641" s="1">
        <v>44188</v>
      </c>
      <c r="C641" t="s">
        <v>52</v>
      </c>
      <c r="D641" t="s">
        <v>18</v>
      </c>
      <c r="E641" t="s">
        <v>19</v>
      </c>
      <c r="F641" t="s">
        <v>27</v>
      </c>
      <c r="G641" t="s">
        <v>21</v>
      </c>
      <c r="H641" t="s">
        <v>74</v>
      </c>
      <c r="I641" t="s">
        <v>23</v>
      </c>
      <c r="J641" t="s">
        <v>24</v>
      </c>
      <c r="K641" t="s">
        <v>25</v>
      </c>
      <c r="L641">
        <v>1</v>
      </c>
      <c r="M641">
        <v>5</v>
      </c>
      <c r="N641">
        <v>4</v>
      </c>
      <c r="O641">
        <v>3</v>
      </c>
      <c r="P641">
        <v>777.7</v>
      </c>
      <c r="Q641">
        <v>23</v>
      </c>
      <c r="S641">
        <f t="shared" si="36"/>
        <v>557.6865165165168</v>
      </c>
      <c r="T641">
        <f t="shared" si="37"/>
        <v>153</v>
      </c>
      <c r="U641">
        <f t="shared" si="38"/>
        <v>1.9139139139139139</v>
      </c>
      <c r="V641">
        <f t="shared" si="39"/>
        <v>557.6865165165168</v>
      </c>
    </row>
    <row r="642" spans="1:22" x14ac:dyDescent="0.25">
      <c r="A642">
        <v>1131</v>
      </c>
      <c r="B642" s="1">
        <v>43553</v>
      </c>
      <c r="C642" t="s">
        <v>26</v>
      </c>
      <c r="D642" t="s">
        <v>18</v>
      </c>
      <c r="E642" t="s">
        <v>28</v>
      </c>
      <c r="F642" t="s">
        <v>33</v>
      </c>
      <c r="G642" t="s">
        <v>21</v>
      </c>
      <c r="H642" t="s">
        <v>56</v>
      </c>
      <c r="I642" t="s">
        <v>23</v>
      </c>
      <c r="J642" t="s">
        <v>24</v>
      </c>
      <c r="K642" t="s">
        <v>25</v>
      </c>
      <c r="L642">
        <v>4</v>
      </c>
      <c r="M642">
        <v>4</v>
      </c>
      <c r="N642">
        <v>4</v>
      </c>
      <c r="O642">
        <v>2</v>
      </c>
      <c r="P642">
        <v>943.05</v>
      </c>
      <c r="Q642">
        <v>24</v>
      </c>
      <c r="S642">
        <f t="shared" ref="S642:S705" si="40">AVERAGE(P:P)-1</f>
        <v>557.6865165165168</v>
      </c>
      <c r="T642">
        <f t="shared" ref="T642:T705" si="41">COUNTIF(D:D,"Inactive")</f>
        <v>153</v>
      </c>
      <c r="U642">
        <f t="shared" ref="U642:U705" si="42">AVERAGE(L:L)-1</f>
        <v>1.9139139139139139</v>
      </c>
      <c r="V642">
        <f t="shared" ref="V642:V705" si="43">AVERAGE(P:P)-1</f>
        <v>557.6865165165168</v>
      </c>
    </row>
    <row r="643" spans="1:22" x14ac:dyDescent="0.25">
      <c r="A643">
        <v>1132</v>
      </c>
      <c r="B643" s="1">
        <v>44331</v>
      </c>
      <c r="C643" t="s">
        <v>49</v>
      </c>
      <c r="D643" t="s">
        <v>84</v>
      </c>
      <c r="E643" t="s">
        <v>19</v>
      </c>
      <c r="F643" t="s">
        <v>33</v>
      </c>
      <c r="G643" t="s">
        <v>21</v>
      </c>
      <c r="H643" t="s">
        <v>29</v>
      </c>
      <c r="I643" t="s">
        <v>23</v>
      </c>
      <c r="J643" t="s">
        <v>24</v>
      </c>
      <c r="K643" t="s">
        <v>25</v>
      </c>
      <c r="L643">
        <v>1</v>
      </c>
      <c r="M643">
        <v>5</v>
      </c>
      <c r="N643">
        <v>5</v>
      </c>
      <c r="O643">
        <v>4</v>
      </c>
      <c r="P643">
        <v>475.91</v>
      </c>
      <c r="Q643">
        <v>58</v>
      </c>
      <c r="S643">
        <f t="shared" si="40"/>
        <v>557.6865165165168</v>
      </c>
      <c r="T643">
        <f t="shared" si="41"/>
        <v>153</v>
      </c>
      <c r="U643">
        <f t="shared" si="42"/>
        <v>1.9139139139139139</v>
      </c>
      <c r="V643">
        <f t="shared" si="43"/>
        <v>557.6865165165168</v>
      </c>
    </row>
    <row r="644" spans="1:22" x14ac:dyDescent="0.25">
      <c r="A644">
        <v>1133</v>
      </c>
      <c r="B644" s="1">
        <v>44634</v>
      </c>
      <c r="C644" t="s">
        <v>31</v>
      </c>
      <c r="D644" t="s">
        <v>84</v>
      </c>
      <c r="E644" t="s">
        <v>32</v>
      </c>
      <c r="F644" t="s">
        <v>33</v>
      </c>
      <c r="G644" t="s">
        <v>21</v>
      </c>
      <c r="H644" t="s">
        <v>29</v>
      </c>
      <c r="I644" t="s">
        <v>23</v>
      </c>
      <c r="J644" t="s">
        <v>24</v>
      </c>
      <c r="K644" t="s">
        <v>25</v>
      </c>
      <c r="L644">
        <v>1</v>
      </c>
      <c r="M644">
        <v>2</v>
      </c>
      <c r="N644">
        <v>4</v>
      </c>
      <c r="O644">
        <v>3</v>
      </c>
      <c r="P644">
        <v>107.14</v>
      </c>
      <c r="Q644">
        <v>73</v>
      </c>
      <c r="S644">
        <f t="shared" si="40"/>
        <v>557.6865165165168</v>
      </c>
      <c r="T644">
        <f t="shared" si="41"/>
        <v>153</v>
      </c>
      <c r="U644">
        <f t="shared" si="42"/>
        <v>1.9139139139139139</v>
      </c>
      <c r="V644">
        <f t="shared" si="43"/>
        <v>557.6865165165168</v>
      </c>
    </row>
    <row r="645" spans="1:22" x14ac:dyDescent="0.25">
      <c r="A645">
        <v>1134</v>
      </c>
      <c r="B645" s="1">
        <v>44536</v>
      </c>
      <c r="C645" t="s">
        <v>40</v>
      </c>
      <c r="D645" t="s">
        <v>84</v>
      </c>
      <c r="E645" t="s">
        <v>28</v>
      </c>
      <c r="F645" t="s">
        <v>20</v>
      </c>
      <c r="G645" t="s">
        <v>21</v>
      </c>
      <c r="H645" t="s">
        <v>38</v>
      </c>
      <c r="I645" t="s">
        <v>23</v>
      </c>
      <c r="J645" t="s">
        <v>24</v>
      </c>
      <c r="K645" t="s">
        <v>25</v>
      </c>
      <c r="L645">
        <v>4</v>
      </c>
      <c r="M645">
        <v>1</v>
      </c>
      <c r="N645">
        <v>2</v>
      </c>
      <c r="O645">
        <v>1</v>
      </c>
      <c r="P645">
        <v>271.49</v>
      </c>
      <c r="Q645">
        <v>25</v>
      </c>
      <c r="S645">
        <f t="shared" si="40"/>
        <v>557.6865165165168</v>
      </c>
      <c r="T645">
        <f t="shared" si="41"/>
        <v>153</v>
      </c>
      <c r="U645">
        <f t="shared" si="42"/>
        <v>1.9139139139139139</v>
      </c>
      <c r="V645">
        <f t="shared" si="43"/>
        <v>557.6865165165168</v>
      </c>
    </row>
    <row r="646" spans="1:22" x14ac:dyDescent="0.25">
      <c r="A646">
        <v>1135</v>
      </c>
      <c r="B646" s="1">
        <v>44496</v>
      </c>
      <c r="C646" t="s">
        <v>17</v>
      </c>
      <c r="D646" t="s">
        <v>18</v>
      </c>
      <c r="E646" t="s">
        <v>32</v>
      </c>
      <c r="F646" t="s">
        <v>27</v>
      </c>
      <c r="G646" t="s">
        <v>21</v>
      </c>
      <c r="H646" t="s">
        <v>47</v>
      </c>
      <c r="I646" t="s">
        <v>23</v>
      </c>
      <c r="J646" t="s">
        <v>30</v>
      </c>
      <c r="K646" t="s">
        <v>25</v>
      </c>
      <c r="L646">
        <v>5</v>
      </c>
      <c r="M646">
        <v>4</v>
      </c>
      <c r="N646">
        <v>4</v>
      </c>
      <c r="O646">
        <v>2</v>
      </c>
      <c r="P646">
        <v>524.23</v>
      </c>
      <c r="Q646">
        <v>57</v>
      </c>
      <c r="S646">
        <f t="shared" si="40"/>
        <v>557.6865165165168</v>
      </c>
      <c r="T646">
        <f t="shared" si="41"/>
        <v>153</v>
      </c>
      <c r="U646">
        <f t="shared" si="42"/>
        <v>1.9139139139139139</v>
      </c>
      <c r="V646">
        <f t="shared" si="43"/>
        <v>557.6865165165168</v>
      </c>
    </row>
    <row r="647" spans="1:22" x14ac:dyDescent="0.25">
      <c r="A647">
        <v>1136</v>
      </c>
      <c r="B647" s="1">
        <v>45017</v>
      </c>
      <c r="C647" t="s">
        <v>52</v>
      </c>
      <c r="D647" t="s">
        <v>18</v>
      </c>
      <c r="E647" t="s">
        <v>32</v>
      </c>
      <c r="F647" t="s">
        <v>27</v>
      </c>
      <c r="G647" t="s">
        <v>21</v>
      </c>
      <c r="H647" t="s">
        <v>41</v>
      </c>
      <c r="I647" t="s">
        <v>23</v>
      </c>
      <c r="J647" t="s">
        <v>30</v>
      </c>
      <c r="K647" t="s">
        <v>25</v>
      </c>
      <c r="L647">
        <v>2</v>
      </c>
      <c r="M647">
        <v>5</v>
      </c>
      <c r="N647">
        <v>2</v>
      </c>
      <c r="O647">
        <v>3</v>
      </c>
      <c r="P647">
        <v>535.88</v>
      </c>
      <c r="Q647">
        <v>77</v>
      </c>
      <c r="S647">
        <f t="shared" si="40"/>
        <v>557.6865165165168</v>
      </c>
      <c r="T647">
        <f t="shared" si="41"/>
        <v>153</v>
      </c>
      <c r="U647">
        <f t="shared" si="42"/>
        <v>1.9139139139139139</v>
      </c>
      <c r="V647">
        <f t="shared" si="43"/>
        <v>557.6865165165168</v>
      </c>
    </row>
    <row r="648" spans="1:22" x14ac:dyDescent="0.25">
      <c r="A648">
        <v>1137</v>
      </c>
      <c r="B648" s="1">
        <v>43614</v>
      </c>
      <c r="C648" t="s">
        <v>26</v>
      </c>
      <c r="D648" t="s">
        <v>18</v>
      </c>
      <c r="E648" t="s">
        <v>32</v>
      </c>
      <c r="F648" t="s">
        <v>20</v>
      </c>
      <c r="G648" t="s">
        <v>21</v>
      </c>
      <c r="H648" t="s">
        <v>41</v>
      </c>
      <c r="I648" t="s">
        <v>23</v>
      </c>
      <c r="J648" t="s">
        <v>30</v>
      </c>
      <c r="K648" t="s">
        <v>25</v>
      </c>
      <c r="L648">
        <v>3</v>
      </c>
      <c r="M648">
        <v>3</v>
      </c>
      <c r="N648">
        <v>5</v>
      </c>
      <c r="O648">
        <v>5</v>
      </c>
      <c r="P648">
        <v>270.92</v>
      </c>
      <c r="Q648">
        <v>65</v>
      </c>
      <c r="S648">
        <f t="shared" si="40"/>
        <v>557.6865165165168</v>
      </c>
      <c r="T648">
        <f t="shared" si="41"/>
        <v>153</v>
      </c>
      <c r="U648">
        <f t="shared" si="42"/>
        <v>1.9139139139139139</v>
      </c>
      <c r="V648">
        <f t="shared" si="43"/>
        <v>557.6865165165168</v>
      </c>
    </row>
    <row r="649" spans="1:22" x14ac:dyDescent="0.25">
      <c r="A649">
        <v>1138</v>
      </c>
      <c r="B649" s="1">
        <v>43658</v>
      </c>
      <c r="C649" t="s">
        <v>54</v>
      </c>
      <c r="D649" t="s">
        <v>18</v>
      </c>
      <c r="E649" t="s">
        <v>32</v>
      </c>
      <c r="F649" t="s">
        <v>33</v>
      </c>
      <c r="G649" t="s">
        <v>21</v>
      </c>
      <c r="H649" t="s">
        <v>44</v>
      </c>
      <c r="I649" t="s">
        <v>23</v>
      </c>
      <c r="J649" t="s">
        <v>30</v>
      </c>
      <c r="K649" t="s">
        <v>25</v>
      </c>
      <c r="L649">
        <v>4</v>
      </c>
      <c r="M649">
        <v>5</v>
      </c>
      <c r="N649">
        <v>1</v>
      </c>
      <c r="O649">
        <v>4</v>
      </c>
      <c r="P649">
        <v>155.13999999999999</v>
      </c>
      <c r="Q649">
        <v>36</v>
      </c>
      <c r="S649">
        <f t="shared" si="40"/>
        <v>557.6865165165168</v>
      </c>
      <c r="T649">
        <f t="shared" si="41"/>
        <v>153</v>
      </c>
      <c r="U649">
        <f t="shared" si="42"/>
        <v>1.9139139139139139</v>
      </c>
      <c r="V649">
        <f t="shared" si="43"/>
        <v>557.6865165165168</v>
      </c>
    </row>
    <row r="650" spans="1:22" x14ac:dyDescent="0.25">
      <c r="A650">
        <v>1139</v>
      </c>
      <c r="B650" s="1">
        <v>43322</v>
      </c>
      <c r="C650" t="s">
        <v>37</v>
      </c>
      <c r="D650" t="s">
        <v>18</v>
      </c>
      <c r="E650" t="s">
        <v>19</v>
      </c>
      <c r="F650" t="s">
        <v>27</v>
      </c>
      <c r="G650" t="s">
        <v>21</v>
      </c>
      <c r="H650" t="s">
        <v>56</v>
      </c>
      <c r="I650" t="s">
        <v>23</v>
      </c>
      <c r="J650" t="s">
        <v>30</v>
      </c>
      <c r="K650" t="s">
        <v>25</v>
      </c>
      <c r="L650">
        <v>2</v>
      </c>
      <c r="M650">
        <v>4</v>
      </c>
      <c r="N650">
        <v>2</v>
      </c>
      <c r="O650">
        <v>1</v>
      </c>
      <c r="P650">
        <v>930.06</v>
      </c>
      <c r="Q650">
        <v>65</v>
      </c>
      <c r="S650">
        <f t="shared" si="40"/>
        <v>557.6865165165168</v>
      </c>
      <c r="T650">
        <f t="shared" si="41"/>
        <v>153</v>
      </c>
      <c r="U650">
        <f t="shared" si="42"/>
        <v>1.9139139139139139</v>
      </c>
      <c r="V650">
        <f t="shared" si="43"/>
        <v>557.6865165165168</v>
      </c>
    </row>
    <row r="651" spans="1:22" x14ac:dyDescent="0.25">
      <c r="A651">
        <v>1140</v>
      </c>
      <c r="B651" s="1">
        <v>44468</v>
      </c>
      <c r="C651" t="s">
        <v>60</v>
      </c>
      <c r="D651" t="s">
        <v>18</v>
      </c>
      <c r="E651" t="s">
        <v>28</v>
      </c>
      <c r="F651" t="s">
        <v>20</v>
      </c>
      <c r="G651" t="s">
        <v>21</v>
      </c>
      <c r="H651" t="s">
        <v>47</v>
      </c>
      <c r="I651" t="s">
        <v>23</v>
      </c>
      <c r="J651" t="s">
        <v>24</v>
      </c>
      <c r="K651" t="s">
        <v>25</v>
      </c>
      <c r="L651">
        <v>5</v>
      </c>
      <c r="M651">
        <v>3</v>
      </c>
      <c r="N651">
        <v>2</v>
      </c>
      <c r="O651">
        <v>1</v>
      </c>
      <c r="P651">
        <v>949.81</v>
      </c>
      <c r="Q651">
        <v>33</v>
      </c>
      <c r="S651">
        <f t="shared" si="40"/>
        <v>557.6865165165168</v>
      </c>
      <c r="T651">
        <f t="shared" si="41"/>
        <v>153</v>
      </c>
      <c r="U651">
        <f t="shared" si="42"/>
        <v>1.9139139139139139</v>
      </c>
      <c r="V651">
        <f t="shared" si="43"/>
        <v>557.6865165165168</v>
      </c>
    </row>
    <row r="652" spans="1:22" x14ac:dyDescent="0.25">
      <c r="A652">
        <v>1141</v>
      </c>
      <c r="B652" s="1">
        <v>44413</v>
      </c>
      <c r="C652" t="s">
        <v>43</v>
      </c>
      <c r="D652" t="s">
        <v>18</v>
      </c>
      <c r="E652" t="s">
        <v>19</v>
      </c>
      <c r="F652" t="s">
        <v>27</v>
      </c>
      <c r="G652" t="s">
        <v>21</v>
      </c>
      <c r="H652" t="s">
        <v>41</v>
      </c>
      <c r="I652" t="s">
        <v>23</v>
      </c>
      <c r="J652" t="s">
        <v>24</v>
      </c>
      <c r="K652" t="s">
        <v>25</v>
      </c>
      <c r="L652">
        <v>5</v>
      </c>
      <c r="M652">
        <v>5</v>
      </c>
      <c r="N652">
        <v>2</v>
      </c>
      <c r="O652">
        <v>1</v>
      </c>
      <c r="P652">
        <v>635.30999999999995</v>
      </c>
      <c r="Q652">
        <v>80</v>
      </c>
      <c r="S652">
        <f t="shared" si="40"/>
        <v>557.6865165165168</v>
      </c>
      <c r="T652">
        <f t="shared" si="41"/>
        <v>153</v>
      </c>
      <c r="U652">
        <f t="shared" si="42"/>
        <v>1.9139139139139139</v>
      </c>
      <c r="V652">
        <f t="shared" si="43"/>
        <v>557.6865165165168</v>
      </c>
    </row>
    <row r="653" spans="1:22" x14ac:dyDescent="0.25">
      <c r="A653">
        <v>1142</v>
      </c>
      <c r="B653" s="1">
        <v>45140</v>
      </c>
      <c r="C653" t="s">
        <v>49</v>
      </c>
      <c r="D653" t="s">
        <v>18</v>
      </c>
      <c r="E653" t="s">
        <v>32</v>
      </c>
      <c r="F653" t="s">
        <v>33</v>
      </c>
      <c r="G653" t="s">
        <v>21</v>
      </c>
      <c r="H653" t="s">
        <v>62</v>
      </c>
      <c r="I653" t="s">
        <v>23</v>
      </c>
      <c r="J653" t="s">
        <v>24</v>
      </c>
      <c r="K653" t="s">
        <v>25</v>
      </c>
      <c r="L653">
        <v>4</v>
      </c>
      <c r="M653">
        <v>4</v>
      </c>
      <c r="N653">
        <v>4</v>
      </c>
      <c r="O653">
        <v>3</v>
      </c>
      <c r="P653">
        <v>675.04</v>
      </c>
      <c r="Q653">
        <v>31</v>
      </c>
      <c r="S653">
        <f t="shared" si="40"/>
        <v>557.6865165165168</v>
      </c>
      <c r="T653">
        <f t="shared" si="41"/>
        <v>153</v>
      </c>
      <c r="U653">
        <f t="shared" si="42"/>
        <v>1.9139139139139139</v>
      </c>
      <c r="V653">
        <f t="shared" si="43"/>
        <v>557.6865165165168</v>
      </c>
    </row>
    <row r="654" spans="1:22" x14ac:dyDescent="0.25">
      <c r="A654">
        <v>1143</v>
      </c>
      <c r="B654" s="1">
        <v>43345</v>
      </c>
      <c r="C654" t="s">
        <v>31</v>
      </c>
      <c r="D654" t="s">
        <v>18</v>
      </c>
      <c r="E654" t="s">
        <v>19</v>
      </c>
      <c r="F654" t="s">
        <v>27</v>
      </c>
      <c r="G654" t="s">
        <v>21</v>
      </c>
      <c r="H654" t="s">
        <v>41</v>
      </c>
      <c r="I654" t="s">
        <v>23</v>
      </c>
      <c r="J654" t="s">
        <v>24</v>
      </c>
      <c r="K654" t="s">
        <v>25</v>
      </c>
      <c r="L654">
        <v>2</v>
      </c>
      <c r="M654">
        <v>4</v>
      </c>
      <c r="N654">
        <v>2</v>
      </c>
      <c r="O654">
        <v>3</v>
      </c>
      <c r="P654">
        <v>563.38</v>
      </c>
      <c r="Q654">
        <v>76</v>
      </c>
      <c r="S654">
        <f t="shared" si="40"/>
        <v>557.6865165165168</v>
      </c>
      <c r="T654">
        <f t="shared" si="41"/>
        <v>153</v>
      </c>
      <c r="U654">
        <f t="shared" si="42"/>
        <v>1.9139139139139139</v>
      </c>
      <c r="V654">
        <f t="shared" si="43"/>
        <v>557.6865165165168</v>
      </c>
    </row>
    <row r="655" spans="1:22" x14ac:dyDescent="0.25">
      <c r="A655">
        <v>1144</v>
      </c>
      <c r="B655" s="1">
        <v>43751</v>
      </c>
      <c r="C655" t="s">
        <v>40</v>
      </c>
      <c r="D655" t="s">
        <v>18</v>
      </c>
      <c r="E655" t="s">
        <v>28</v>
      </c>
      <c r="F655" t="s">
        <v>33</v>
      </c>
      <c r="G655" t="s">
        <v>21</v>
      </c>
      <c r="H655" t="s">
        <v>67</v>
      </c>
      <c r="I655" t="s">
        <v>23</v>
      </c>
      <c r="J655" t="s">
        <v>24</v>
      </c>
      <c r="K655" t="s">
        <v>25</v>
      </c>
      <c r="L655">
        <v>5</v>
      </c>
      <c r="M655">
        <v>3</v>
      </c>
      <c r="N655">
        <v>2</v>
      </c>
      <c r="O655">
        <v>4</v>
      </c>
      <c r="P655">
        <v>750.25</v>
      </c>
      <c r="Q655">
        <v>56</v>
      </c>
      <c r="S655">
        <f t="shared" si="40"/>
        <v>557.6865165165168</v>
      </c>
      <c r="T655">
        <f t="shared" si="41"/>
        <v>153</v>
      </c>
      <c r="U655">
        <f t="shared" si="42"/>
        <v>1.9139139139139139</v>
      </c>
      <c r="V655">
        <f t="shared" si="43"/>
        <v>557.6865165165168</v>
      </c>
    </row>
    <row r="656" spans="1:22" x14ac:dyDescent="0.25">
      <c r="A656">
        <v>1145</v>
      </c>
      <c r="B656" s="1">
        <v>44098</v>
      </c>
      <c r="C656" t="s">
        <v>37</v>
      </c>
      <c r="D656" t="s">
        <v>18</v>
      </c>
      <c r="E656" t="s">
        <v>19</v>
      </c>
      <c r="F656" t="s">
        <v>33</v>
      </c>
      <c r="G656" t="s">
        <v>21</v>
      </c>
      <c r="H656" t="s">
        <v>66</v>
      </c>
      <c r="I656" t="s">
        <v>23</v>
      </c>
      <c r="J656" t="s">
        <v>30</v>
      </c>
      <c r="K656" t="s">
        <v>25</v>
      </c>
      <c r="L656">
        <v>3</v>
      </c>
      <c r="M656">
        <v>3</v>
      </c>
      <c r="N656">
        <v>4</v>
      </c>
      <c r="O656">
        <v>2</v>
      </c>
      <c r="P656">
        <v>401.53</v>
      </c>
      <c r="Q656">
        <v>72</v>
      </c>
      <c r="S656">
        <f t="shared" si="40"/>
        <v>557.6865165165168</v>
      </c>
      <c r="T656">
        <f t="shared" si="41"/>
        <v>153</v>
      </c>
      <c r="U656">
        <f t="shared" si="42"/>
        <v>1.9139139139139139</v>
      </c>
      <c r="V656">
        <f t="shared" si="43"/>
        <v>557.6865165165168</v>
      </c>
    </row>
    <row r="657" spans="1:22" x14ac:dyDescent="0.25">
      <c r="A657">
        <v>1146</v>
      </c>
      <c r="B657" s="1">
        <v>45144</v>
      </c>
      <c r="C657" t="s">
        <v>52</v>
      </c>
      <c r="D657" t="s">
        <v>18</v>
      </c>
      <c r="E657" t="s">
        <v>19</v>
      </c>
      <c r="F657" t="s">
        <v>20</v>
      </c>
      <c r="G657" t="s">
        <v>21</v>
      </c>
      <c r="H657" t="s">
        <v>41</v>
      </c>
      <c r="I657" t="s">
        <v>23</v>
      </c>
      <c r="J657" t="s">
        <v>30</v>
      </c>
      <c r="K657" t="s">
        <v>25</v>
      </c>
      <c r="L657">
        <v>3</v>
      </c>
      <c r="M657">
        <v>2</v>
      </c>
      <c r="N657">
        <v>2</v>
      </c>
      <c r="O657">
        <v>3</v>
      </c>
      <c r="P657">
        <v>894.88</v>
      </c>
      <c r="Q657">
        <v>60</v>
      </c>
      <c r="S657">
        <f t="shared" si="40"/>
        <v>557.6865165165168</v>
      </c>
      <c r="T657">
        <f t="shared" si="41"/>
        <v>153</v>
      </c>
      <c r="U657">
        <f t="shared" si="42"/>
        <v>1.9139139139139139</v>
      </c>
      <c r="V657">
        <f t="shared" si="43"/>
        <v>557.6865165165168</v>
      </c>
    </row>
    <row r="658" spans="1:22" x14ac:dyDescent="0.25">
      <c r="A658">
        <v>1147</v>
      </c>
      <c r="B658" s="1">
        <v>43627</v>
      </c>
      <c r="C658" t="s">
        <v>60</v>
      </c>
      <c r="D658" t="s">
        <v>84</v>
      </c>
      <c r="E658" t="s">
        <v>32</v>
      </c>
      <c r="F658" t="s">
        <v>33</v>
      </c>
      <c r="G658" t="s">
        <v>21</v>
      </c>
      <c r="H658" t="s">
        <v>38</v>
      </c>
      <c r="I658" t="s">
        <v>23</v>
      </c>
      <c r="J658" t="s">
        <v>24</v>
      </c>
      <c r="K658" t="s">
        <v>25</v>
      </c>
      <c r="L658">
        <v>1</v>
      </c>
      <c r="M658">
        <v>3</v>
      </c>
      <c r="N658">
        <v>5</v>
      </c>
      <c r="O658">
        <v>2</v>
      </c>
      <c r="P658">
        <v>247.58</v>
      </c>
      <c r="Q658">
        <v>76</v>
      </c>
      <c r="S658">
        <f t="shared" si="40"/>
        <v>557.6865165165168</v>
      </c>
      <c r="T658">
        <f t="shared" si="41"/>
        <v>153</v>
      </c>
      <c r="U658">
        <f t="shared" si="42"/>
        <v>1.9139139139139139</v>
      </c>
      <c r="V658">
        <f t="shared" si="43"/>
        <v>557.6865165165168</v>
      </c>
    </row>
    <row r="659" spans="1:22" x14ac:dyDescent="0.25">
      <c r="A659">
        <v>1148</v>
      </c>
      <c r="B659" s="1">
        <v>43510</v>
      </c>
      <c r="C659" t="s">
        <v>31</v>
      </c>
      <c r="D659" t="s">
        <v>18</v>
      </c>
      <c r="E659" t="s">
        <v>28</v>
      </c>
      <c r="F659" t="s">
        <v>27</v>
      </c>
      <c r="G659" t="s">
        <v>21</v>
      </c>
      <c r="H659" t="s">
        <v>67</v>
      </c>
      <c r="I659" t="s">
        <v>23</v>
      </c>
      <c r="J659" t="s">
        <v>24</v>
      </c>
      <c r="K659" t="s">
        <v>25</v>
      </c>
      <c r="L659">
        <v>4</v>
      </c>
      <c r="M659">
        <v>1</v>
      </c>
      <c r="N659">
        <v>3</v>
      </c>
      <c r="O659">
        <v>3</v>
      </c>
      <c r="P659">
        <v>529</v>
      </c>
      <c r="Q659">
        <v>76</v>
      </c>
      <c r="S659">
        <f t="shared" si="40"/>
        <v>557.6865165165168</v>
      </c>
      <c r="T659">
        <f t="shared" si="41"/>
        <v>153</v>
      </c>
      <c r="U659">
        <f t="shared" si="42"/>
        <v>1.9139139139139139</v>
      </c>
      <c r="V659">
        <f t="shared" si="43"/>
        <v>557.6865165165168</v>
      </c>
    </row>
    <row r="660" spans="1:22" x14ac:dyDescent="0.25">
      <c r="A660">
        <v>1149</v>
      </c>
      <c r="B660" s="1">
        <v>44637</v>
      </c>
      <c r="C660" t="s">
        <v>49</v>
      </c>
      <c r="D660" t="s">
        <v>18</v>
      </c>
      <c r="E660" t="s">
        <v>28</v>
      </c>
      <c r="F660" t="s">
        <v>20</v>
      </c>
      <c r="G660" t="s">
        <v>21</v>
      </c>
      <c r="H660" t="s">
        <v>41</v>
      </c>
      <c r="I660" t="s">
        <v>23</v>
      </c>
      <c r="J660" t="s">
        <v>24</v>
      </c>
      <c r="K660" t="s">
        <v>25</v>
      </c>
      <c r="L660">
        <v>3</v>
      </c>
      <c r="M660">
        <v>2</v>
      </c>
      <c r="N660">
        <v>5</v>
      </c>
      <c r="O660">
        <v>5</v>
      </c>
      <c r="P660">
        <v>483.99</v>
      </c>
      <c r="Q660">
        <v>81</v>
      </c>
      <c r="S660">
        <f t="shared" si="40"/>
        <v>557.6865165165168</v>
      </c>
      <c r="T660">
        <f t="shared" si="41"/>
        <v>153</v>
      </c>
      <c r="U660">
        <f t="shared" si="42"/>
        <v>1.9139139139139139</v>
      </c>
      <c r="V660">
        <f t="shared" si="43"/>
        <v>557.6865165165168</v>
      </c>
    </row>
    <row r="661" spans="1:22" x14ac:dyDescent="0.25">
      <c r="A661">
        <v>1150</v>
      </c>
      <c r="B661" s="1">
        <v>44048</v>
      </c>
      <c r="C661" t="s">
        <v>54</v>
      </c>
      <c r="D661" t="s">
        <v>18</v>
      </c>
      <c r="E661" t="s">
        <v>28</v>
      </c>
      <c r="F661" t="s">
        <v>27</v>
      </c>
      <c r="G661" t="s">
        <v>21</v>
      </c>
      <c r="H661" t="s">
        <v>29</v>
      </c>
      <c r="I661" t="s">
        <v>23</v>
      </c>
      <c r="J661" t="s">
        <v>24</v>
      </c>
      <c r="K661" t="s">
        <v>25</v>
      </c>
      <c r="L661">
        <v>3</v>
      </c>
      <c r="M661">
        <v>4</v>
      </c>
      <c r="N661">
        <v>4</v>
      </c>
      <c r="O661">
        <v>5</v>
      </c>
      <c r="P661">
        <v>797.35</v>
      </c>
      <c r="Q661">
        <v>39</v>
      </c>
      <c r="S661">
        <f t="shared" si="40"/>
        <v>557.6865165165168</v>
      </c>
      <c r="T661">
        <f t="shared" si="41"/>
        <v>153</v>
      </c>
      <c r="U661">
        <f t="shared" si="42"/>
        <v>1.9139139139139139</v>
      </c>
      <c r="V661">
        <f t="shared" si="43"/>
        <v>557.6865165165168</v>
      </c>
    </row>
    <row r="662" spans="1:22" x14ac:dyDescent="0.25">
      <c r="A662">
        <v>1151</v>
      </c>
      <c r="B662" s="1">
        <v>44796</v>
      </c>
      <c r="C662" t="s">
        <v>26</v>
      </c>
      <c r="D662" t="s">
        <v>18</v>
      </c>
      <c r="E662" t="s">
        <v>28</v>
      </c>
      <c r="F662" t="s">
        <v>27</v>
      </c>
      <c r="G662" t="s">
        <v>21</v>
      </c>
      <c r="H662" t="s">
        <v>41</v>
      </c>
      <c r="I662" t="s">
        <v>23</v>
      </c>
      <c r="J662" t="s">
        <v>30</v>
      </c>
      <c r="K662" t="s">
        <v>25</v>
      </c>
      <c r="L662">
        <v>5</v>
      </c>
      <c r="M662">
        <v>3</v>
      </c>
      <c r="N662">
        <v>1</v>
      </c>
      <c r="O662">
        <v>4</v>
      </c>
      <c r="P662">
        <v>707.59</v>
      </c>
      <c r="Q662">
        <v>44</v>
      </c>
      <c r="S662">
        <f t="shared" si="40"/>
        <v>557.6865165165168</v>
      </c>
      <c r="T662">
        <f t="shared" si="41"/>
        <v>153</v>
      </c>
      <c r="U662">
        <f t="shared" si="42"/>
        <v>1.9139139139139139</v>
      </c>
      <c r="V662">
        <f t="shared" si="43"/>
        <v>557.6865165165168</v>
      </c>
    </row>
    <row r="663" spans="1:22" x14ac:dyDescent="0.25">
      <c r="A663">
        <v>1152</v>
      </c>
      <c r="B663" s="1">
        <v>44938</v>
      </c>
      <c r="C663" t="s">
        <v>17</v>
      </c>
      <c r="D663" t="s">
        <v>18</v>
      </c>
      <c r="E663" t="s">
        <v>32</v>
      </c>
      <c r="F663" t="s">
        <v>27</v>
      </c>
      <c r="G663" t="s">
        <v>21</v>
      </c>
      <c r="H663" t="s">
        <v>47</v>
      </c>
      <c r="I663" t="s">
        <v>23</v>
      </c>
      <c r="J663" t="s">
        <v>24</v>
      </c>
      <c r="K663" t="s">
        <v>25</v>
      </c>
      <c r="L663">
        <v>1</v>
      </c>
      <c r="M663">
        <v>1</v>
      </c>
      <c r="N663">
        <v>5</v>
      </c>
      <c r="O663">
        <v>2</v>
      </c>
      <c r="P663">
        <v>564.48</v>
      </c>
      <c r="Q663">
        <v>60</v>
      </c>
      <c r="S663">
        <f t="shared" si="40"/>
        <v>557.6865165165168</v>
      </c>
      <c r="T663">
        <f t="shared" si="41"/>
        <v>153</v>
      </c>
      <c r="U663">
        <f t="shared" si="42"/>
        <v>1.9139139139139139</v>
      </c>
      <c r="V663">
        <f t="shared" si="43"/>
        <v>557.6865165165168</v>
      </c>
    </row>
    <row r="664" spans="1:22" x14ac:dyDescent="0.25">
      <c r="A664">
        <v>1153</v>
      </c>
      <c r="B664" s="1">
        <v>43935</v>
      </c>
      <c r="C664" t="s">
        <v>26</v>
      </c>
      <c r="D664" t="s">
        <v>84</v>
      </c>
      <c r="E664" t="s">
        <v>28</v>
      </c>
      <c r="F664" t="s">
        <v>27</v>
      </c>
      <c r="G664" t="s">
        <v>21</v>
      </c>
      <c r="H664" t="s">
        <v>41</v>
      </c>
      <c r="I664" t="s">
        <v>23</v>
      </c>
      <c r="J664" t="s">
        <v>24</v>
      </c>
      <c r="K664" t="s">
        <v>25</v>
      </c>
      <c r="L664">
        <v>3</v>
      </c>
      <c r="M664">
        <v>4</v>
      </c>
      <c r="N664">
        <v>2</v>
      </c>
      <c r="O664">
        <v>4</v>
      </c>
      <c r="P664">
        <v>555.35</v>
      </c>
      <c r="Q664">
        <v>79</v>
      </c>
      <c r="S664">
        <f t="shared" si="40"/>
        <v>557.6865165165168</v>
      </c>
      <c r="T664">
        <f t="shared" si="41"/>
        <v>153</v>
      </c>
      <c r="U664">
        <f t="shared" si="42"/>
        <v>1.9139139139139139</v>
      </c>
      <c r="V664">
        <f t="shared" si="43"/>
        <v>557.6865165165168</v>
      </c>
    </row>
    <row r="665" spans="1:22" x14ac:dyDescent="0.25">
      <c r="A665">
        <v>1154</v>
      </c>
      <c r="B665" s="1">
        <v>44466</v>
      </c>
      <c r="C665" t="s">
        <v>54</v>
      </c>
      <c r="D665" t="s">
        <v>84</v>
      </c>
      <c r="E665" t="s">
        <v>32</v>
      </c>
      <c r="F665" t="s">
        <v>20</v>
      </c>
      <c r="G665" t="s">
        <v>21</v>
      </c>
      <c r="H665" t="s">
        <v>41</v>
      </c>
      <c r="I665" t="s">
        <v>23</v>
      </c>
      <c r="J665" t="s">
        <v>24</v>
      </c>
      <c r="K665" t="s">
        <v>25</v>
      </c>
      <c r="L665">
        <v>1</v>
      </c>
      <c r="M665">
        <v>3</v>
      </c>
      <c r="N665">
        <v>2</v>
      </c>
      <c r="O665">
        <v>3</v>
      </c>
      <c r="P665">
        <v>338.48</v>
      </c>
      <c r="Q665">
        <v>34</v>
      </c>
      <c r="S665">
        <f t="shared" si="40"/>
        <v>557.6865165165168</v>
      </c>
      <c r="T665">
        <f t="shared" si="41"/>
        <v>153</v>
      </c>
      <c r="U665">
        <f t="shared" si="42"/>
        <v>1.9139139139139139</v>
      </c>
      <c r="V665">
        <f t="shared" si="43"/>
        <v>557.6865165165168</v>
      </c>
    </row>
    <row r="666" spans="1:22" x14ac:dyDescent="0.25">
      <c r="A666">
        <v>1155</v>
      </c>
      <c r="B666" s="1">
        <v>43421</v>
      </c>
      <c r="C666" t="s">
        <v>49</v>
      </c>
      <c r="D666" t="s">
        <v>84</v>
      </c>
      <c r="E666" t="s">
        <v>19</v>
      </c>
      <c r="F666" t="s">
        <v>27</v>
      </c>
      <c r="G666" t="s">
        <v>21</v>
      </c>
      <c r="H666" t="s">
        <v>22</v>
      </c>
      <c r="I666" t="s">
        <v>23</v>
      </c>
      <c r="J666" t="s">
        <v>24</v>
      </c>
      <c r="K666" t="s">
        <v>25</v>
      </c>
      <c r="L666">
        <v>2</v>
      </c>
      <c r="M666">
        <v>3</v>
      </c>
      <c r="N666">
        <v>1</v>
      </c>
      <c r="O666">
        <v>1</v>
      </c>
      <c r="P666">
        <v>339.01</v>
      </c>
      <c r="Q666">
        <v>67</v>
      </c>
      <c r="S666">
        <f t="shared" si="40"/>
        <v>557.6865165165168</v>
      </c>
      <c r="T666">
        <f t="shared" si="41"/>
        <v>153</v>
      </c>
      <c r="U666">
        <f t="shared" si="42"/>
        <v>1.9139139139139139</v>
      </c>
      <c r="V666">
        <f t="shared" si="43"/>
        <v>557.6865165165168</v>
      </c>
    </row>
    <row r="667" spans="1:22" x14ac:dyDescent="0.25">
      <c r="A667">
        <v>1156</v>
      </c>
      <c r="B667" s="1">
        <v>43668</v>
      </c>
      <c r="C667" t="s">
        <v>31</v>
      </c>
      <c r="D667" t="s">
        <v>84</v>
      </c>
      <c r="E667" t="s">
        <v>19</v>
      </c>
      <c r="F667" t="s">
        <v>27</v>
      </c>
      <c r="G667" t="s">
        <v>21</v>
      </c>
      <c r="H667" t="s">
        <v>73</v>
      </c>
      <c r="I667" t="s">
        <v>23</v>
      </c>
      <c r="J667" t="s">
        <v>30</v>
      </c>
      <c r="K667" t="s">
        <v>25</v>
      </c>
      <c r="L667">
        <v>1</v>
      </c>
      <c r="M667">
        <v>5</v>
      </c>
      <c r="N667">
        <v>2</v>
      </c>
      <c r="O667">
        <v>5</v>
      </c>
      <c r="P667">
        <v>939.49</v>
      </c>
      <c r="Q667">
        <v>39</v>
      </c>
      <c r="S667">
        <f t="shared" si="40"/>
        <v>557.6865165165168</v>
      </c>
      <c r="T667">
        <f t="shared" si="41"/>
        <v>153</v>
      </c>
      <c r="U667">
        <f t="shared" si="42"/>
        <v>1.9139139139139139</v>
      </c>
      <c r="V667">
        <f t="shared" si="43"/>
        <v>557.6865165165168</v>
      </c>
    </row>
    <row r="668" spans="1:22" x14ac:dyDescent="0.25">
      <c r="A668">
        <v>1157</v>
      </c>
      <c r="B668" s="1">
        <v>43506</v>
      </c>
      <c r="C668" t="s">
        <v>60</v>
      </c>
      <c r="D668" t="s">
        <v>18</v>
      </c>
      <c r="E668" t="s">
        <v>28</v>
      </c>
      <c r="F668" t="s">
        <v>27</v>
      </c>
      <c r="G668" t="s">
        <v>21</v>
      </c>
      <c r="H668" t="s">
        <v>67</v>
      </c>
      <c r="I668" t="s">
        <v>23</v>
      </c>
      <c r="J668" t="s">
        <v>30</v>
      </c>
      <c r="K668" t="s">
        <v>25</v>
      </c>
      <c r="L668">
        <v>1</v>
      </c>
      <c r="M668">
        <v>4</v>
      </c>
      <c r="N668">
        <v>2</v>
      </c>
      <c r="O668">
        <v>1</v>
      </c>
      <c r="P668">
        <v>276.47000000000003</v>
      </c>
      <c r="Q668">
        <v>23</v>
      </c>
      <c r="S668">
        <f t="shared" si="40"/>
        <v>557.6865165165168</v>
      </c>
      <c r="T668">
        <f t="shared" si="41"/>
        <v>153</v>
      </c>
      <c r="U668">
        <f t="shared" si="42"/>
        <v>1.9139139139139139</v>
      </c>
      <c r="V668">
        <f t="shared" si="43"/>
        <v>557.6865165165168</v>
      </c>
    </row>
    <row r="669" spans="1:22" x14ac:dyDescent="0.25">
      <c r="A669">
        <v>1158</v>
      </c>
      <c r="B669" s="1">
        <v>43426</v>
      </c>
      <c r="C669" t="s">
        <v>52</v>
      </c>
      <c r="D669" t="s">
        <v>84</v>
      </c>
      <c r="E669" t="s">
        <v>32</v>
      </c>
      <c r="F669" t="s">
        <v>27</v>
      </c>
      <c r="G669" t="s">
        <v>21</v>
      </c>
      <c r="H669" t="s">
        <v>41</v>
      </c>
      <c r="I669" t="s">
        <v>23</v>
      </c>
      <c r="J669" t="s">
        <v>30</v>
      </c>
      <c r="K669" t="s">
        <v>25</v>
      </c>
      <c r="L669">
        <v>2</v>
      </c>
      <c r="M669">
        <v>4</v>
      </c>
      <c r="N669">
        <v>4</v>
      </c>
      <c r="O669">
        <v>3</v>
      </c>
      <c r="P669">
        <v>154.71</v>
      </c>
      <c r="Q669">
        <v>60</v>
      </c>
      <c r="S669">
        <f t="shared" si="40"/>
        <v>557.6865165165168</v>
      </c>
      <c r="T669">
        <f t="shared" si="41"/>
        <v>153</v>
      </c>
      <c r="U669">
        <f t="shared" si="42"/>
        <v>1.9139139139139139</v>
      </c>
      <c r="V669">
        <f t="shared" si="43"/>
        <v>557.6865165165168</v>
      </c>
    </row>
    <row r="670" spans="1:22" x14ac:dyDescent="0.25">
      <c r="A670">
        <v>1159</v>
      </c>
      <c r="B670" s="1">
        <v>45039</v>
      </c>
      <c r="C670" t="s">
        <v>37</v>
      </c>
      <c r="D670" t="s">
        <v>18</v>
      </c>
      <c r="E670" t="s">
        <v>28</v>
      </c>
      <c r="F670" t="s">
        <v>27</v>
      </c>
      <c r="G670" t="s">
        <v>21</v>
      </c>
      <c r="H670" t="s">
        <v>56</v>
      </c>
      <c r="I670" t="s">
        <v>23</v>
      </c>
      <c r="J670" t="s">
        <v>30</v>
      </c>
      <c r="K670" t="s">
        <v>25</v>
      </c>
      <c r="L670">
        <v>1</v>
      </c>
      <c r="M670">
        <v>2</v>
      </c>
      <c r="N670">
        <v>4</v>
      </c>
      <c r="O670">
        <v>3</v>
      </c>
      <c r="P670">
        <v>674.24</v>
      </c>
      <c r="Q670">
        <v>44</v>
      </c>
      <c r="S670">
        <f t="shared" si="40"/>
        <v>557.6865165165168</v>
      </c>
      <c r="T670">
        <f t="shared" si="41"/>
        <v>153</v>
      </c>
      <c r="U670">
        <f t="shared" si="42"/>
        <v>1.9139139139139139</v>
      </c>
      <c r="V670">
        <f t="shared" si="43"/>
        <v>557.6865165165168</v>
      </c>
    </row>
    <row r="671" spans="1:22" x14ac:dyDescent="0.25">
      <c r="A671">
        <v>1160</v>
      </c>
      <c r="B671" s="1">
        <v>44921</v>
      </c>
      <c r="C671" t="s">
        <v>43</v>
      </c>
      <c r="D671" t="s">
        <v>18</v>
      </c>
      <c r="E671" t="s">
        <v>28</v>
      </c>
      <c r="F671" t="s">
        <v>33</v>
      </c>
      <c r="G671" t="s">
        <v>21</v>
      </c>
      <c r="H671" t="s">
        <v>38</v>
      </c>
      <c r="I671" t="s">
        <v>23</v>
      </c>
      <c r="J671" t="s">
        <v>24</v>
      </c>
      <c r="K671" t="s">
        <v>25</v>
      </c>
      <c r="L671">
        <v>4</v>
      </c>
      <c r="M671">
        <v>2</v>
      </c>
      <c r="N671">
        <v>3</v>
      </c>
      <c r="O671">
        <v>2</v>
      </c>
      <c r="P671">
        <v>137.96</v>
      </c>
      <c r="Q671">
        <v>46</v>
      </c>
      <c r="S671">
        <f t="shared" si="40"/>
        <v>557.6865165165168</v>
      </c>
      <c r="T671">
        <f t="shared" si="41"/>
        <v>153</v>
      </c>
      <c r="U671">
        <f t="shared" si="42"/>
        <v>1.9139139139139139</v>
      </c>
      <c r="V671">
        <f t="shared" si="43"/>
        <v>557.6865165165168</v>
      </c>
    </row>
    <row r="672" spans="1:22" x14ac:dyDescent="0.25">
      <c r="A672">
        <v>1161</v>
      </c>
      <c r="B672" s="1">
        <v>43996</v>
      </c>
      <c r="C672" t="s">
        <v>60</v>
      </c>
      <c r="D672" t="s">
        <v>18</v>
      </c>
      <c r="E672" t="s">
        <v>19</v>
      </c>
      <c r="F672" t="s">
        <v>33</v>
      </c>
      <c r="G672" t="s">
        <v>21</v>
      </c>
      <c r="H672" t="s">
        <v>71</v>
      </c>
      <c r="I672" t="s">
        <v>23</v>
      </c>
      <c r="J672" t="s">
        <v>24</v>
      </c>
      <c r="K672" t="s">
        <v>25</v>
      </c>
      <c r="L672">
        <v>3</v>
      </c>
      <c r="M672">
        <v>4</v>
      </c>
      <c r="N672">
        <v>4</v>
      </c>
      <c r="O672">
        <v>5</v>
      </c>
      <c r="P672">
        <v>926.85</v>
      </c>
      <c r="Q672">
        <v>66</v>
      </c>
      <c r="S672">
        <f t="shared" si="40"/>
        <v>557.6865165165168</v>
      </c>
      <c r="T672">
        <f t="shared" si="41"/>
        <v>153</v>
      </c>
      <c r="U672">
        <f t="shared" si="42"/>
        <v>1.9139139139139139</v>
      </c>
      <c r="V672">
        <f t="shared" si="43"/>
        <v>557.6865165165168</v>
      </c>
    </row>
    <row r="673" spans="1:22" x14ac:dyDescent="0.25">
      <c r="A673">
        <v>1162</v>
      </c>
      <c r="B673" s="1">
        <v>44649</v>
      </c>
      <c r="C673" t="s">
        <v>43</v>
      </c>
      <c r="D673" t="s">
        <v>18</v>
      </c>
      <c r="E673" t="s">
        <v>32</v>
      </c>
      <c r="F673" t="s">
        <v>20</v>
      </c>
      <c r="G673" t="s">
        <v>21</v>
      </c>
      <c r="H673" t="s">
        <v>38</v>
      </c>
      <c r="I673" t="s">
        <v>23</v>
      </c>
      <c r="J673" t="s">
        <v>24</v>
      </c>
      <c r="K673" t="s">
        <v>25</v>
      </c>
      <c r="L673">
        <v>3</v>
      </c>
      <c r="M673">
        <v>3</v>
      </c>
      <c r="N673">
        <v>2</v>
      </c>
      <c r="O673">
        <v>1</v>
      </c>
      <c r="P673">
        <v>846.55</v>
      </c>
      <c r="Q673">
        <v>39</v>
      </c>
      <c r="S673">
        <f t="shared" si="40"/>
        <v>557.6865165165168</v>
      </c>
      <c r="T673">
        <f t="shared" si="41"/>
        <v>153</v>
      </c>
      <c r="U673">
        <f t="shared" si="42"/>
        <v>1.9139139139139139</v>
      </c>
      <c r="V673">
        <f t="shared" si="43"/>
        <v>557.6865165165168</v>
      </c>
    </row>
    <row r="674" spans="1:22" x14ac:dyDescent="0.25">
      <c r="A674">
        <v>1163</v>
      </c>
      <c r="B674" s="1">
        <v>44913</v>
      </c>
      <c r="C674" t="s">
        <v>49</v>
      </c>
      <c r="D674" t="s">
        <v>18</v>
      </c>
      <c r="E674" t="s">
        <v>19</v>
      </c>
      <c r="F674" t="s">
        <v>27</v>
      </c>
      <c r="G674" t="s">
        <v>21</v>
      </c>
      <c r="H674" t="s">
        <v>62</v>
      </c>
      <c r="I674" t="s">
        <v>23</v>
      </c>
      <c r="J674" t="s">
        <v>24</v>
      </c>
      <c r="K674" t="s">
        <v>25</v>
      </c>
      <c r="L674">
        <v>1</v>
      </c>
      <c r="M674">
        <v>2</v>
      </c>
      <c r="N674">
        <v>3</v>
      </c>
      <c r="O674">
        <v>3</v>
      </c>
      <c r="P674">
        <v>734.77</v>
      </c>
      <c r="Q674">
        <v>26</v>
      </c>
      <c r="S674">
        <f t="shared" si="40"/>
        <v>557.6865165165168</v>
      </c>
      <c r="T674">
        <f t="shared" si="41"/>
        <v>153</v>
      </c>
      <c r="U674">
        <f t="shared" si="42"/>
        <v>1.9139139139139139</v>
      </c>
      <c r="V674">
        <f t="shared" si="43"/>
        <v>557.6865165165168</v>
      </c>
    </row>
    <row r="675" spans="1:22" x14ac:dyDescent="0.25">
      <c r="A675">
        <v>1164</v>
      </c>
      <c r="B675" s="1">
        <v>43545</v>
      </c>
      <c r="C675" t="s">
        <v>31</v>
      </c>
      <c r="D675" t="s">
        <v>18</v>
      </c>
      <c r="E675" t="s">
        <v>28</v>
      </c>
      <c r="F675" t="s">
        <v>27</v>
      </c>
      <c r="G675" t="s">
        <v>21</v>
      </c>
      <c r="H675" t="s">
        <v>35</v>
      </c>
      <c r="I675" t="s">
        <v>23</v>
      </c>
      <c r="J675" t="s">
        <v>24</v>
      </c>
      <c r="K675" t="s">
        <v>25</v>
      </c>
      <c r="L675">
        <v>5</v>
      </c>
      <c r="M675">
        <v>5</v>
      </c>
      <c r="N675">
        <v>5</v>
      </c>
      <c r="O675">
        <v>3</v>
      </c>
      <c r="P675">
        <v>315.08999999999997</v>
      </c>
      <c r="Q675">
        <v>69</v>
      </c>
      <c r="S675">
        <f t="shared" si="40"/>
        <v>557.6865165165168</v>
      </c>
      <c r="T675">
        <f t="shared" si="41"/>
        <v>153</v>
      </c>
      <c r="U675">
        <f t="shared" si="42"/>
        <v>1.9139139139139139</v>
      </c>
      <c r="V675">
        <f t="shared" si="43"/>
        <v>557.6865165165168</v>
      </c>
    </row>
    <row r="676" spans="1:22" x14ac:dyDescent="0.25">
      <c r="A676">
        <v>1165</v>
      </c>
      <c r="B676" s="1">
        <v>44235</v>
      </c>
      <c r="C676" t="s">
        <v>40</v>
      </c>
      <c r="D676" t="s">
        <v>18</v>
      </c>
      <c r="E676" t="s">
        <v>32</v>
      </c>
      <c r="F676" t="s">
        <v>20</v>
      </c>
      <c r="G676" t="s">
        <v>21</v>
      </c>
      <c r="H676" t="s">
        <v>41</v>
      </c>
      <c r="I676" t="s">
        <v>23</v>
      </c>
      <c r="J676" t="s">
        <v>24</v>
      </c>
      <c r="K676" t="s">
        <v>25</v>
      </c>
      <c r="L676">
        <v>3</v>
      </c>
      <c r="M676">
        <v>3</v>
      </c>
      <c r="N676">
        <v>1</v>
      </c>
      <c r="O676">
        <v>3</v>
      </c>
      <c r="P676">
        <v>686.05</v>
      </c>
      <c r="Q676">
        <v>23</v>
      </c>
      <c r="S676">
        <f t="shared" si="40"/>
        <v>557.6865165165168</v>
      </c>
      <c r="T676">
        <f t="shared" si="41"/>
        <v>153</v>
      </c>
      <c r="U676">
        <f t="shared" si="42"/>
        <v>1.9139139139139139</v>
      </c>
      <c r="V676">
        <f t="shared" si="43"/>
        <v>557.6865165165168</v>
      </c>
    </row>
    <row r="677" spans="1:22" x14ac:dyDescent="0.25">
      <c r="A677">
        <v>1166</v>
      </c>
      <c r="B677" s="1">
        <v>44718</v>
      </c>
      <c r="C677" t="s">
        <v>43</v>
      </c>
      <c r="D677" t="s">
        <v>18</v>
      </c>
      <c r="E677" t="s">
        <v>32</v>
      </c>
      <c r="F677" t="s">
        <v>27</v>
      </c>
      <c r="G677" t="s">
        <v>21</v>
      </c>
      <c r="H677" t="s">
        <v>41</v>
      </c>
      <c r="I677" t="s">
        <v>23</v>
      </c>
      <c r="J677" t="s">
        <v>30</v>
      </c>
      <c r="K677" t="s">
        <v>25</v>
      </c>
      <c r="L677">
        <v>2</v>
      </c>
      <c r="M677">
        <v>1</v>
      </c>
      <c r="N677">
        <v>4</v>
      </c>
      <c r="O677">
        <v>4</v>
      </c>
      <c r="P677">
        <v>942.51</v>
      </c>
      <c r="Q677">
        <v>57</v>
      </c>
      <c r="S677">
        <f t="shared" si="40"/>
        <v>557.6865165165168</v>
      </c>
      <c r="T677">
        <f t="shared" si="41"/>
        <v>153</v>
      </c>
      <c r="U677">
        <f t="shared" si="42"/>
        <v>1.9139139139139139</v>
      </c>
      <c r="V677">
        <f t="shared" si="43"/>
        <v>557.6865165165168</v>
      </c>
    </row>
    <row r="678" spans="1:22" x14ac:dyDescent="0.25">
      <c r="A678">
        <v>1167</v>
      </c>
      <c r="B678" s="1">
        <v>44501</v>
      </c>
      <c r="C678" t="s">
        <v>49</v>
      </c>
      <c r="D678" t="s">
        <v>18</v>
      </c>
      <c r="E678" t="s">
        <v>19</v>
      </c>
      <c r="F678" t="s">
        <v>33</v>
      </c>
      <c r="G678" t="s">
        <v>21</v>
      </c>
      <c r="H678" t="s">
        <v>41</v>
      </c>
      <c r="I678" t="s">
        <v>23</v>
      </c>
      <c r="J678" t="s">
        <v>24</v>
      </c>
      <c r="K678" t="s">
        <v>25</v>
      </c>
      <c r="L678">
        <v>2</v>
      </c>
      <c r="M678">
        <v>3</v>
      </c>
      <c r="N678">
        <v>4</v>
      </c>
      <c r="O678">
        <v>4</v>
      </c>
      <c r="P678">
        <v>782.82</v>
      </c>
      <c r="Q678">
        <v>66</v>
      </c>
      <c r="S678">
        <f t="shared" si="40"/>
        <v>557.6865165165168</v>
      </c>
      <c r="T678">
        <f t="shared" si="41"/>
        <v>153</v>
      </c>
      <c r="U678">
        <f t="shared" si="42"/>
        <v>1.9139139139139139</v>
      </c>
      <c r="V678">
        <f t="shared" si="43"/>
        <v>557.6865165165168</v>
      </c>
    </row>
    <row r="679" spans="1:22" x14ac:dyDescent="0.25">
      <c r="A679">
        <v>1168</v>
      </c>
      <c r="B679" s="1">
        <v>44945</v>
      </c>
      <c r="C679" t="s">
        <v>31</v>
      </c>
      <c r="D679" t="s">
        <v>18</v>
      </c>
      <c r="E679" t="s">
        <v>19</v>
      </c>
      <c r="F679" t="s">
        <v>27</v>
      </c>
      <c r="G679" t="s">
        <v>21</v>
      </c>
      <c r="H679" t="s">
        <v>41</v>
      </c>
      <c r="I679" t="s">
        <v>23</v>
      </c>
      <c r="J679" t="s">
        <v>24</v>
      </c>
      <c r="K679" t="s">
        <v>25</v>
      </c>
      <c r="L679">
        <v>2</v>
      </c>
      <c r="M679">
        <v>2</v>
      </c>
      <c r="N679">
        <v>2</v>
      </c>
      <c r="O679">
        <v>1</v>
      </c>
      <c r="P679">
        <v>370.64</v>
      </c>
      <c r="Q679">
        <v>72</v>
      </c>
      <c r="S679">
        <f t="shared" si="40"/>
        <v>557.6865165165168</v>
      </c>
      <c r="T679">
        <f t="shared" si="41"/>
        <v>153</v>
      </c>
      <c r="U679">
        <f t="shared" si="42"/>
        <v>1.9139139139139139</v>
      </c>
      <c r="V679">
        <f t="shared" si="43"/>
        <v>557.6865165165168</v>
      </c>
    </row>
    <row r="680" spans="1:22" x14ac:dyDescent="0.25">
      <c r="A680">
        <v>1169</v>
      </c>
      <c r="B680" s="1">
        <v>44042</v>
      </c>
      <c r="C680" t="s">
        <v>40</v>
      </c>
      <c r="D680" t="s">
        <v>18</v>
      </c>
      <c r="E680" t="s">
        <v>19</v>
      </c>
      <c r="F680" t="s">
        <v>33</v>
      </c>
      <c r="G680" t="s">
        <v>21</v>
      </c>
      <c r="H680" t="s">
        <v>41</v>
      </c>
      <c r="I680" t="s">
        <v>23</v>
      </c>
      <c r="J680" t="s">
        <v>24</v>
      </c>
      <c r="K680" t="s">
        <v>25</v>
      </c>
      <c r="L680">
        <v>1</v>
      </c>
      <c r="M680">
        <v>3</v>
      </c>
      <c r="N680">
        <v>2</v>
      </c>
      <c r="O680">
        <v>1</v>
      </c>
      <c r="P680">
        <v>487.66</v>
      </c>
      <c r="Q680">
        <v>60</v>
      </c>
      <c r="S680">
        <f t="shared" si="40"/>
        <v>557.6865165165168</v>
      </c>
      <c r="T680">
        <f t="shared" si="41"/>
        <v>153</v>
      </c>
      <c r="U680">
        <f t="shared" si="42"/>
        <v>1.9139139139139139</v>
      </c>
      <c r="V680">
        <f t="shared" si="43"/>
        <v>557.6865165165168</v>
      </c>
    </row>
    <row r="681" spans="1:22" x14ac:dyDescent="0.25">
      <c r="A681">
        <v>1170</v>
      </c>
      <c r="B681" s="1">
        <v>45123</v>
      </c>
      <c r="C681" t="s">
        <v>17</v>
      </c>
      <c r="D681" t="s">
        <v>18</v>
      </c>
      <c r="E681" t="s">
        <v>28</v>
      </c>
      <c r="F681" t="s">
        <v>20</v>
      </c>
      <c r="G681" t="s">
        <v>21</v>
      </c>
      <c r="H681" t="s">
        <v>75</v>
      </c>
      <c r="I681" t="s">
        <v>23</v>
      </c>
      <c r="J681" t="s">
        <v>24</v>
      </c>
      <c r="K681" t="s">
        <v>25</v>
      </c>
      <c r="L681">
        <v>1</v>
      </c>
      <c r="M681">
        <v>5</v>
      </c>
      <c r="N681">
        <v>4</v>
      </c>
      <c r="O681">
        <v>1</v>
      </c>
      <c r="P681">
        <v>179.85</v>
      </c>
      <c r="Q681">
        <v>72</v>
      </c>
      <c r="S681">
        <f t="shared" si="40"/>
        <v>557.6865165165168</v>
      </c>
      <c r="T681">
        <f t="shared" si="41"/>
        <v>153</v>
      </c>
      <c r="U681">
        <f t="shared" si="42"/>
        <v>1.9139139139139139</v>
      </c>
      <c r="V681">
        <f t="shared" si="43"/>
        <v>557.6865165165168</v>
      </c>
    </row>
    <row r="682" spans="1:22" x14ac:dyDescent="0.25">
      <c r="A682">
        <v>1171</v>
      </c>
      <c r="B682" s="1">
        <v>44728</v>
      </c>
      <c r="C682" t="s">
        <v>52</v>
      </c>
      <c r="D682" t="s">
        <v>18</v>
      </c>
      <c r="E682" t="s">
        <v>28</v>
      </c>
      <c r="F682" t="s">
        <v>27</v>
      </c>
      <c r="G682" t="s">
        <v>21</v>
      </c>
      <c r="H682" t="s">
        <v>41</v>
      </c>
      <c r="I682" t="s">
        <v>23</v>
      </c>
      <c r="J682" t="s">
        <v>24</v>
      </c>
      <c r="K682" t="s">
        <v>25</v>
      </c>
      <c r="L682">
        <v>4</v>
      </c>
      <c r="M682">
        <v>1</v>
      </c>
      <c r="N682">
        <v>4</v>
      </c>
      <c r="O682">
        <v>1</v>
      </c>
      <c r="P682">
        <v>294.74</v>
      </c>
      <c r="Q682">
        <v>69</v>
      </c>
      <c r="S682">
        <f t="shared" si="40"/>
        <v>557.6865165165168</v>
      </c>
      <c r="T682">
        <f t="shared" si="41"/>
        <v>153</v>
      </c>
      <c r="U682">
        <f t="shared" si="42"/>
        <v>1.9139139139139139</v>
      </c>
      <c r="V682">
        <f t="shared" si="43"/>
        <v>557.6865165165168</v>
      </c>
    </row>
    <row r="683" spans="1:22" x14ac:dyDescent="0.25">
      <c r="A683">
        <v>1172</v>
      </c>
      <c r="B683" s="1">
        <v>44360</v>
      </c>
      <c r="C683" t="s">
        <v>26</v>
      </c>
      <c r="D683" t="s">
        <v>84</v>
      </c>
      <c r="E683" t="s">
        <v>32</v>
      </c>
      <c r="F683" t="s">
        <v>20</v>
      </c>
      <c r="G683" t="s">
        <v>21</v>
      </c>
      <c r="H683" t="s">
        <v>47</v>
      </c>
      <c r="I683" t="s">
        <v>23</v>
      </c>
      <c r="J683" t="s">
        <v>30</v>
      </c>
      <c r="K683" t="s">
        <v>25</v>
      </c>
      <c r="L683">
        <v>1</v>
      </c>
      <c r="M683">
        <v>3</v>
      </c>
      <c r="N683">
        <v>2</v>
      </c>
      <c r="O683">
        <v>5</v>
      </c>
      <c r="P683">
        <v>202.09</v>
      </c>
      <c r="Q683">
        <v>69</v>
      </c>
      <c r="S683">
        <f t="shared" si="40"/>
        <v>557.6865165165168</v>
      </c>
      <c r="T683">
        <f t="shared" si="41"/>
        <v>153</v>
      </c>
      <c r="U683">
        <f t="shared" si="42"/>
        <v>1.9139139139139139</v>
      </c>
      <c r="V683">
        <f t="shared" si="43"/>
        <v>557.6865165165168</v>
      </c>
    </row>
    <row r="684" spans="1:22" x14ac:dyDescent="0.25">
      <c r="A684">
        <v>1173</v>
      </c>
      <c r="B684" s="1">
        <v>44149</v>
      </c>
      <c r="C684" t="s">
        <v>40</v>
      </c>
      <c r="D684" t="s">
        <v>84</v>
      </c>
      <c r="E684" t="s">
        <v>32</v>
      </c>
      <c r="F684" t="s">
        <v>20</v>
      </c>
      <c r="G684" t="s">
        <v>21</v>
      </c>
      <c r="H684" t="s">
        <v>80</v>
      </c>
      <c r="I684" t="s">
        <v>23</v>
      </c>
      <c r="J684" t="s">
        <v>24</v>
      </c>
      <c r="K684" t="s">
        <v>25</v>
      </c>
      <c r="L684">
        <v>5</v>
      </c>
      <c r="M684">
        <v>5</v>
      </c>
      <c r="N684">
        <v>2</v>
      </c>
      <c r="O684">
        <v>4</v>
      </c>
      <c r="P684">
        <v>901.42</v>
      </c>
      <c r="Q684">
        <v>52</v>
      </c>
      <c r="S684">
        <f t="shared" si="40"/>
        <v>557.6865165165168</v>
      </c>
      <c r="T684">
        <f t="shared" si="41"/>
        <v>153</v>
      </c>
      <c r="U684">
        <f t="shared" si="42"/>
        <v>1.9139139139139139</v>
      </c>
      <c r="V684">
        <f t="shared" si="43"/>
        <v>557.6865165165168</v>
      </c>
    </row>
    <row r="685" spans="1:22" x14ac:dyDescent="0.25">
      <c r="A685">
        <v>1174</v>
      </c>
      <c r="B685" s="1">
        <v>43998</v>
      </c>
      <c r="C685" t="s">
        <v>17</v>
      </c>
      <c r="D685" t="s">
        <v>84</v>
      </c>
      <c r="E685" t="s">
        <v>32</v>
      </c>
      <c r="F685" t="s">
        <v>20</v>
      </c>
      <c r="G685" t="s">
        <v>21</v>
      </c>
      <c r="H685" t="s">
        <v>41</v>
      </c>
      <c r="I685" t="s">
        <v>23</v>
      </c>
      <c r="J685" t="s">
        <v>24</v>
      </c>
      <c r="K685" t="s">
        <v>25</v>
      </c>
      <c r="L685">
        <v>2</v>
      </c>
      <c r="M685">
        <v>1</v>
      </c>
      <c r="N685">
        <v>5</v>
      </c>
      <c r="O685">
        <v>3</v>
      </c>
      <c r="P685">
        <v>454.23</v>
      </c>
      <c r="Q685">
        <v>47</v>
      </c>
      <c r="S685">
        <f t="shared" si="40"/>
        <v>557.6865165165168</v>
      </c>
      <c r="T685">
        <f t="shared" si="41"/>
        <v>153</v>
      </c>
      <c r="U685">
        <f t="shared" si="42"/>
        <v>1.9139139139139139</v>
      </c>
      <c r="V685">
        <f t="shared" si="43"/>
        <v>557.6865165165168</v>
      </c>
    </row>
    <row r="686" spans="1:22" x14ac:dyDescent="0.25">
      <c r="A686">
        <v>1175</v>
      </c>
      <c r="B686" s="1">
        <v>43454</v>
      </c>
      <c r="C686" t="s">
        <v>26</v>
      </c>
      <c r="D686" t="s">
        <v>84</v>
      </c>
      <c r="E686" t="s">
        <v>32</v>
      </c>
      <c r="F686" t="s">
        <v>27</v>
      </c>
      <c r="G686" t="s">
        <v>21</v>
      </c>
      <c r="H686" t="s">
        <v>68</v>
      </c>
      <c r="I686" t="s">
        <v>23</v>
      </c>
      <c r="J686" t="s">
        <v>24</v>
      </c>
      <c r="K686" t="s">
        <v>25</v>
      </c>
      <c r="L686">
        <v>2</v>
      </c>
      <c r="M686">
        <v>1</v>
      </c>
      <c r="N686">
        <v>2</v>
      </c>
      <c r="O686">
        <v>3</v>
      </c>
      <c r="P686">
        <v>460.39</v>
      </c>
      <c r="Q686">
        <v>22</v>
      </c>
      <c r="S686">
        <f t="shared" si="40"/>
        <v>557.6865165165168</v>
      </c>
      <c r="T686">
        <f t="shared" si="41"/>
        <v>153</v>
      </c>
      <c r="U686">
        <f t="shared" si="42"/>
        <v>1.9139139139139139</v>
      </c>
      <c r="V686">
        <f t="shared" si="43"/>
        <v>557.6865165165168</v>
      </c>
    </row>
    <row r="687" spans="1:22" x14ac:dyDescent="0.25">
      <c r="A687">
        <v>1176</v>
      </c>
      <c r="B687" s="1">
        <v>44863</v>
      </c>
      <c r="C687" t="s">
        <v>54</v>
      </c>
      <c r="D687" t="s">
        <v>18</v>
      </c>
      <c r="E687" t="s">
        <v>19</v>
      </c>
      <c r="F687" t="s">
        <v>27</v>
      </c>
      <c r="G687" t="s">
        <v>21</v>
      </c>
      <c r="H687" t="s">
        <v>47</v>
      </c>
      <c r="I687" t="s">
        <v>23</v>
      </c>
      <c r="J687" t="s">
        <v>24</v>
      </c>
      <c r="K687" t="s">
        <v>25</v>
      </c>
      <c r="L687">
        <v>2</v>
      </c>
      <c r="M687">
        <v>2</v>
      </c>
      <c r="N687">
        <v>5</v>
      </c>
      <c r="O687">
        <v>2</v>
      </c>
      <c r="P687">
        <v>644.72</v>
      </c>
      <c r="Q687">
        <v>62</v>
      </c>
      <c r="S687">
        <f t="shared" si="40"/>
        <v>557.6865165165168</v>
      </c>
      <c r="T687">
        <f t="shared" si="41"/>
        <v>153</v>
      </c>
      <c r="U687">
        <f t="shared" si="42"/>
        <v>1.9139139139139139</v>
      </c>
      <c r="V687">
        <f t="shared" si="43"/>
        <v>557.6865165165168</v>
      </c>
    </row>
    <row r="688" spans="1:22" x14ac:dyDescent="0.25">
      <c r="A688">
        <v>1177</v>
      </c>
      <c r="B688" s="1">
        <v>44032</v>
      </c>
      <c r="C688" t="s">
        <v>49</v>
      </c>
      <c r="D688" t="s">
        <v>18</v>
      </c>
      <c r="E688" t="s">
        <v>19</v>
      </c>
      <c r="F688" t="s">
        <v>27</v>
      </c>
      <c r="G688" t="s">
        <v>21</v>
      </c>
      <c r="H688" t="s">
        <v>29</v>
      </c>
      <c r="I688" t="s">
        <v>23</v>
      </c>
      <c r="J688" t="s">
        <v>24</v>
      </c>
      <c r="K688" t="s">
        <v>25</v>
      </c>
      <c r="L688">
        <v>2</v>
      </c>
      <c r="M688">
        <v>2</v>
      </c>
      <c r="N688">
        <v>5</v>
      </c>
      <c r="O688">
        <v>3</v>
      </c>
      <c r="P688">
        <v>436.86</v>
      </c>
      <c r="Q688">
        <v>52</v>
      </c>
      <c r="S688">
        <f t="shared" si="40"/>
        <v>557.6865165165168</v>
      </c>
      <c r="T688">
        <f t="shared" si="41"/>
        <v>153</v>
      </c>
      <c r="U688">
        <f t="shared" si="42"/>
        <v>1.9139139139139139</v>
      </c>
      <c r="V688">
        <f t="shared" si="43"/>
        <v>557.6865165165168</v>
      </c>
    </row>
    <row r="689" spans="1:22" x14ac:dyDescent="0.25">
      <c r="A689">
        <v>1178</v>
      </c>
      <c r="B689" s="1">
        <v>44472</v>
      </c>
      <c r="C689" t="s">
        <v>31</v>
      </c>
      <c r="D689" t="s">
        <v>84</v>
      </c>
      <c r="E689" t="s">
        <v>19</v>
      </c>
      <c r="F689" t="s">
        <v>20</v>
      </c>
      <c r="G689" t="s">
        <v>21</v>
      </c>
      <c r="H689" t="s">
        <v>41</v>
      </c>
      <c r="I689" t="s">
        <v>23</v>
      </c>
      <c r="J689" t="s">
        <v>30</v>
      </c>
      <c r="K689" t="s">
        <v>25</v>
      </c>
      <c r="L689">
        <v>2</v>
      </c>
      <c r="M689">
        <v>1</v>
      </c>
      <c r="N689">
        <v>2</v>
      </c>
      <c r="O689">
        <v>1</v>
      </c>
      <c r="P689">
        <v>361.52</v>
      </c>
      <c r="Q689">
        <v>62</v>
      </c>
      <c r="S689">
        <f t="shared" si="40"/>
        <v>557.6865165165168</v>
      </c>
      <c r="T689">
        <f t="shared" si="41"/>
        <v>153</v>
      </c>
      <c r="U689">
        <f t="shared" si="42"/>
        <v>1.9139139139139139</v>
      </c>
      <c r="V689">
        <f t="shared" si="43"/>
        <v>557.6865165165168</v>
      </c>
    </row>
    <row r="690" spans="1:22" x14ac:dyDescent="0.25">
      <c r="A690">
        <v>1179</v>
      </c>
      <c r="B690" s="1">
        <v>44758</v>
      </c>
      <c r="C690" t="s">
        <v>60</v>
      </c>
      <c r="D690" t="s">
        <v>18</v>
      </c>
      <c r="E690" t="s">
        <v>28</v>
      </c>
      <c r="F690" t="s">
        <v>27</v>
      </c>
      <c r="G690" t="s">
        <v>21</v>
      </c>
      <c r="H690" t="s">
        <v>29</v>
      </c>
      <c r="I690" t="s">
        <v>23</v>
      </c>
      <c r="J690" t="s">
        <v>30</v>
      </c>
      <c r="K690" t="s">
        <v>25</v>
      </c>
      <c r="L690">
        <v>3</v>
      </c>
      <c r="M690">
        <v>5</v>
      </c>
      <c r="N690">
        <v>1</v>
      </c>
      <c r="O690">
        <v>2</v>
      </c>
      <c r="P690">
        <v>229.05</v>
      </c>
      <c r="Q690">
        <v>32</v>
      </c>
      <c r="S690">
        <f t="shared" si="40"/>
        <v>557.6865165165168</v>
      </c>
      <c r="T690">
        <f t="shared" si="41"/>
        <v>153</v>
      </c>
      <c r="U690">
        <f t="shared" si="42"/>
        <v>1.9139139139139139</v>
      </c>
      <c r="V690">
        <f t="shared" si="43"/>
        <v>557.6865165165168</v>
      </c>
    </row>
    <row r="691" spans="1:22" x14ac:dyDescent="0.25">
      <c r="A691">
        <v>1180</v>
      </c>
      <c r="B691" s="1">
        <v>44012</v>
      </c>
      <c r="C691" t="s">
        <v>52</v>
      </c>
      <c r="D691" t="s">
        <v>18</v>
      </c>
      <c r="E691" t="s">
        <v>32</v>
      </c>
      <c r="F691" t="s">
        <v>33</v>
      </c>
      <c r="G691" t="s">
        <v>21</v>
      </c>
      <c r="H691" t="s">
        <v>75</v>
      </c>
      <c r="I691" t="s">
        <v>23</v>
      </c>
      <c r="J691" t="s">
        <v>30</v>
      </c>
      <c r="K691" t="s">
        <v>25</v>
      </c>
      <c r="L691">
        <v>4</v>
      </c>
      <c r="M691">
        <v>3</v>
      </c>
      <c r="N691">
        <v>1</v>
      </c>
      <c r="O691">
        <v>3</v>
      </c>
      <c r="P691">
        <v>787.85</v>
      </c>
      <c r="Q691">
        <v>76</v>
      </c>
      <c r="S691">
        <f t="shared" si="40"/>
        <v>557.6865165165168</v>
      </c>
      <c r="T691">
        <f t="shared" si="41"/>
        <v>153</v>
      </c>
      <c r="U691">
        <f t="shared" si="42"/>
        <v>1.9139139139139139</v>
      </c>
      <c r="V691">
        <f t="shared" si="43"/>
        <v>557.6865165165168</v>
      </c>
    </row>
    <row r="692" spans="1:22" x14ac:dyDescent="0.25">
      <c r="A692">
        <v>1181</v>
      </c>
      <c r="B692" s="1">
        <v>44360</v>
      </c>
      <c r="C692" t="s">
        <v>37</v>
      </c>
      <c r="D692" t="s">
        <v>18</v>
      </c>
      <c r="E692" t="s">
        <v>32</v>
      </c>
      <c r="F692" t="s">
        <v>20</v>
      </c>
      <c r="G692" t="s">
        <v>21</v>
      </c>
      <c r="H692" t="s">
        <v>67</v>
      </c>
      <c r="I692" t="s">
        <v>23</v>
      </c>
      <c r="J692" t="s">
        <v>30</v>
      </c>
      <c r="K692" t="s">
        <v>25</v>
      </c>
      <c r="L692">
        <v>5</v>
      </c>
      <c r="M692">
        <v>5</v>
      </c>
      <c r="N692">
        <v>4</v>
      </c>
      <c r="O692">
        <v>1</v>
      </c>
      <c r="P692">
        <v>483.82</v>
      </c>
      <c r="Q692">
        <v>28</v>
      </c>
      <c r="S692">
        <f t="shared" si="40"/>
        <v>557.6865165165168</v>
      </c>
      <c r="T692">
        <f t="shared" si="41"/>
        <v>153</v>
      </c>
      <c r="U692">
        <f t="shared" si="42"/>
        <v>1.9139139139139139</v>
      </c>
      <c r="V692">
        <f t="shared" si="43"/>
        <v>557.6865165165168</v>
      </c>
    </row>
    <row r="693" spans="1:22" x14ac:dyDescent="0.25">
      <c r="A693">
        <v>1182</v>
      </c>
      <c r="B693" s="1">
        <v>44194</v>
      </c>
      <c r="C693" t="s">
        <v>43</v>
      </c>
      <c r="D693" t="s">
        <v>18</v>
      </c>
      <c r="E693" t="s">
        <v>32</v>
      </c>
      <c r="F693" t="s">
        <v>20</v>
      </c>
      <c r="G693" t="s">
        <v>21</v>
      </c>
      <c r="H693" t="s">
        <v>56</v>
      </c>
      <c r="I693" t="s">
        <v>23</v>
      </c>
      <c r="J693" t="s">
        <v>24</v>
      </c>
      <c r="K693" t="s">
        <v>25</v>
      </c>
      <c r="L693">
        <v>2</v>
      </c>
      <c r="M693">
        <v>4</v>
      </c>
      <c r="N693">
        <v>5</v>
      </c>
      <c r="O693">
        <v>5</v>
      </c>
      <c r="P693">
        <v>623.64</v>
      </c>
      <c r="Q693">
        <v>47</v>
      </c>
      <c r="S693">
        <f t="shared" si="40"/>
        <v>557.6865165165168</v>
      </c>
      <c r="T693">
        <f t="shared" si="41"/>
        <v>153</v>
      </c>
      <c r="U693">
        <f t="shared" si="42"/>
        <v>1.9139139139139139</v>
      </c>
      <c r="V693">
        <f t="shared" si="43"/>
        <v>557.6865165165168</v>
      </c>
    </row>
    <row r="694" spans="1:22" x14ac:dyDescent="0.25">
      <c r="A694">
        <v>1183</v>
      </c>
      <c r="B694" s="1">
        <v>44595</v>
      </c>
      <c r="C694" t="s">
        <v>40</v>
      </c>
      <c r="D694" t="s">
        <v>18</v>
      </c>
      <c r="E694" t="s">
        <v>28</v>
      </c>
      <c r="F694" t="s">
        <v>27</v>
      </c>
      <c r="G694" t="s">
        <v>21</v>
      </c>
      <c r="H694" t="s">
        <v>68</v>
      </c>
      <c r="I694" t="s">
        <v>23</v>
      </c>
      <c r="J694" t="s">
        <v>24</v>
      </c>
      <c r="K694" t="s">
        <v>25</v>
      </c>
      <c r="L694">
        <v>4</v>
      </c>
      <c r="M694">
        <v>5</v>
      </c>
      <c r="N694">
        <v>5</v>
      </c>
      <c r="O694">
        <v>4</v>
      </c>
      <c r="P694">
        <v>351.35</v>
      </c>
      <c r="Q694">
        <v>76</v>
      </c>
      <c r="S694">
        <f t="shared" si="40"/>
        <v>557.6865165165168</v>
      </c>
      <c r="T694">
        <f t="shared" si="41"/>
        <v>153</v>
      </c>
      <c r="U694">
        <f t="shared" si="42"/>
        <v>1.9139139139139139</v>
      </c>
      <c r="V694">
        <f t="shared" si="43"/>
        <v>557.6865165165168</v>
      </c>
    </row>
    <row r="695" spans="1:22" x14ac:dyDescent="0.25">
      <c r="A695">
        <v>1184</v>
      </c>
      <c r="B695" s="1">
        <v>44571</v>
      </c>
      <c r="C695" t="s">
        <v>17</v>
      </c>
      <c r="D695" t="s">
        <v>18</v>
      </c>
      <c r="E695" t="s">
        <v>32</v>
      </c>
      <c r="F695" t="s">
        <v>33</v>
      </c>
      <c r="G695" t="s">
        <v>21</v>
      </c>
      <c r="H695" t="s">
        <v>67</v>
      </c>
      <c r="I695" t="s">
        <v>23</v>
      </c>
      <c r="J695" t="s">
        <v>24</v>
      </c>
      <c r="K695" t="s">
        <v>25</v>
      </c>
      <c r="L695">
        <v>1</v>
      </c>
      <c r="M695">
        <v>3</v>
      </c>
      <c r="N695">
        <v>1</v>
      </c>
      <c r="O695">
        <v>3</v>
      </c>
      <c r="P695">
        <v>512.51</v>
      </c>
      <c r="Q695">
        <v>71</v>
      </c>
      <c r="S695">
        <f t="shared" si="40"/>
        <v>557.6865165165168</v>
      </c>
      <c r="T695">
        <f t="shared" si="41"/>
        <v>153</v>
      </c>
      <c r="U695">
        <f t="shared" si="42"/>
        <v>1.9139139139139139</v>
      </c>
      <c r="V695">
        <f t="shared" si="43"/>
        <v>557.6865165165168</v>
      </c>
    </row>
    <row r="696" spans="1:22" x14ac:dyDescent="0.25">
      <c r="A696">
        <v>1185</v>
      </c>
      <c r="B696" s="1">
        <v>43447</v>
      </c>
      <c r="C696" t="s">
        <v>26</v>
      </c>
      <c r="D696" t="s">
        <v>18</v>
      </c>
      <c r="E696" t="s">
        <v>28</v>
      </c>
      <c r="F696" t="s">
        <v>27</v>
      </c>
      <c r="G696" t="s">
        <v>21</v>
      </c>
      <c r="H696" t="s">
        <v>63</v>
      </c>
      <c r="I696" t="s">
        <v>23</v>
      </c>
      <c r="J696" t="s">
        <v>24</v>
      </c>
      <c r="K696" t="s">
        <v>25</v>
      </c>
      <c r="L696">
        <v>1</v>
      </c>
      <c r="M696">
        <v>2</v>
      </c>
      <c r="N696">
        <v>4</v>
      </c>
      <c r="O696">
        <v>5</v>
      </c>
      <c r="P696">
        <v>957.9</v>
      </c>
      <c r="Q696">
        <v>45</v>
      </c>
      <c r="S696">
        <f t="shared" si="40"/>
        <v>557.6865165165168</v>
      </c>
      <c r="T696">
        <f t="shared" si="41"/>
        <v>153</v>
      </c>
      <c r="U696">
        <f t="shared" si="42"/>
        <v>1.9139139139139139</v>
      </c>
      <c r="V696">
        <f t="shared" si="43"/>
        <v>557.6865165165168</v>
      </c>
    </row>
    <row r="697" spans="1:22" x14ac:dyDescent="0.25">
      <c r="A697">
        <v>1186</v>
      </c>
      <c r="B697" s="1">
        <v>44258</v>
      </c>
      <c r="C697" t="s">
        <v>54</v>
      </c>
      <c r="D697" t="s">
        <v>18</v>
      </c>
      <c r="E697" t="s">
        <v>32</v>
      </c>
      <c r="F697" t="s">
        <v>27</v>
      </c>
      <c r="G697" t="s">
        <v>21</v>
      </c>
      <c r="H697" t="s">
        <v>56</v>
      </c>
      <c r="I697" t="s">
        <v>23</v>
      </c>
      <c r="J697" t="s">
        <v>24</v>
      </c>
      <c r="K697" t="s">
        <v>25</v>
      </c>
      <c r="L697">
        <v>3</v>
      </c>
      <c r="M697">
        <v>3</v>
      </c>
      <c r="N697">
        <v>5</v>
      </c>
      <c r="O697">
        <v>5</v>
      </c>
      <c r="P697">
        <v>886.45</v>
      </c>
      <c r="Q697">
        <v>38</v>
      </c>
      <c r="S697">
        <f t="shared" si="40"/>
        <v>557.6865165165168</v>
      </c>
      <c r="T697">
        <f t="shared" si="41"/>
        <v>153</v>
      </c>
      <c r="U697">
        <f t="shared" si="42"/>
        <v>1.9139139139139139</v>
      </c>
      <c r="V697">
        <f t="shared" si="43"/>
        <v>557.6865165165168</v>
      </c>
    </row>
    <row r="698" spans="1:22" x14ac:dyDescent="0.25">
      <c r="A698">
        <v>1187</v>
      </c>
      <c r="B698" s="1">
        <v>44381</v>
      </c>
      <c r="C698" t="s">
        <v>49</v>
      </c>
      <c r="D698" t="s">
        <v>18</v>
      </c>
      <c r="E698" t="s">
        <v>28</v>
      </c>
      <c r="F698" t="s">
        <v>27</v>
      </c>
      <c r="G698" t="s">
        <v>21</v>
      </c>
      <c r="H698" t="s">
        <v>29</v>
      </c>
      <c r="I698" t="s">
        <v>23</v>
      </c>
      <c r="J698" t="s">
        <v>24</v>
      </c>
      <c r="K698" t="s">
        <v>25</v>
      </c>
      <c r="L698">
        <v>4</v>
      </c>
      <c r="M698">
        <v>1</v>
      </c>
      <c r="N698">
        <v>1</v>
      </c>
      <c r="O698">
        <v>4</v>
      </c>
      <c r="P698">
        <v>443.55</v>
      </c>
      <c r="Q698">
        <v>24</v>
      </c>
      <c r="S698">
        <f t="shared" si="40"/>
        <v>557.6865165165168</v>
      </c>
      <c r="T698">
        <f t="shared" si="41"/>
        <v>153</v>
      </c>
      <c r="U698">
        <f t="shared" si="42"/>
        <v>1.9139139139139139</v>
      </c>
      <c r="V698">
        <f t="shared" si="43"/>
        <v>557.6865165165168</v>
      </c>
    </row>
    <row r="699" spans="1:22" x14ac:dyDescent="0.25">
      <c r="A699">
        <v>1188</v>
      </c>
      <c r="B699" s="1">
        <v>43867</v>
      </c>
      <c r="C699" t="s">
        <v>43</v>
      </c>
      <c r="D699" t="s">
        <v>84</v>
      </c>
      <c r="E699" t="s">
        <v>19</v>
      </c>
      <c r="F699" t="s">
        <v>33</v>
      </c>
      <c r="G699" t="s">
        <v>21</v>
      </c>
      <c r="H699" t="s">
        <v>35</v>
      </c>
      <c r="I699" t="s">
        <v>23</v>
      </c>
      <c r="J699" t="s">
        <v>30</v>
      </c>
      <c r="K699" t="s">
        <v>25</v>
      </c>
      <c r="L699">
        <v>4</v>
      </c>
      <c r="M699">
        <v>1</v>
      </c>
      <c r="N699">
        <v>1</v>
      </c>
      <c r="O699">
        <v>4</v>
      </c>
      <c r="P699">
        <v>899.13</v>
      </c>
      <c r="Q699">
        <v>41</v>
      </c>
      <c r="S699">
        <f t="shared" si="40"/>
        <v>557.6865165165168</v>
      </c>
      <c r="T699">
        <f t="shared" si="41"/>
        <v>153</v>
      </c>
      <c r="U699">
        <f t="shared" si="42"/>
        <v>1.9139139139139139</v>
      </c>
      <c r="V699">
        <f t="shared" si="43"/>
        <v>557.6865165165168</v>
      </c>
    </row>
    <row r="700" spans="1:22" x14ac:dyDescent="0.25">
      <c r="A700">
        <v>1189</v>
      </c>
      <c r="B700" s="1">
        <v>44010</v>
      </c>
      <c r="C700" t="s">
        <v>49</v>
      </c>
      <c r="D700" t="s">
        <v>84</v>
      </c>
      <c r="E700" t="s">
        <v>19</v>
      </c>
      <c r="F700" t="s">
        <v>20</v>
      </c>
      <c r="G700" t="s">
        <v>21</v>
      </c>
      <c r="H700" t="s">
        <v>44</v>
      </c>
      <c r="I700" t="s">
        <v>23</v>
      </c>
      <c r="J700" t="s">
        <v>24</v>
      </c>
      <c r="K700" t="s">
        <v>25</v>
      </c>
      <c r="L700">
        <v>5</v>
      </c>
      <c r="M700">
        <v>5</v>
      </c>
      <c r="N700">
        <v>3</v>
      </c>
      <c r="O700">
        <v>1</v>
      </c>
      <c r="P700">
        <v>202.74</v>
      </c>
      <c r="Q700">
        <v>32</v>
      </c>
      <c r="S700">
        <f t="shared" si="40"/>
        <v>557.6865165165168</v>
      </c>
      <c r="T700">
        <f t="shared" si="41"/>
        <v>153</v>
      </c>
      <c r="U700">
        <f t="shared" si="42"/>
        <v>1.9139139139139139</v>
      </c>
      <c r="V700">
        <f t="shared" si="43"/>
        <v>557.6865165165168</v>
      </c>
    </row>
    <row r="701" spans="1:22" x14ac:dyDescent="0.25">
      <c r="A701">
        <v>1190</v>
      </c>
      <c r="B701" s="1">
        <v>44187</v>
      </c>
      <c r="C701" t="s">
        <v>31</v>
      </c>
      <c r="D701" t="s">
        <v>84</v>
      </c>
      <c r="E701" t="s">
        <v>19</v>
      </c>
      <c r="F701" t="s">
        <v>33</v>
      </c>
      <c r="G701" t="s">
        <v>21</v>
      </c>
      <c r="H701" t="s">
        <v>65</v>
      </c>
      <c r="I701" t="s">
        <v>23</v>
      </c>
      <c r="J701" t="s">
        <v>24</v>
      </c>
      <c r="K701" t="s">
        <v>25</v>
      </c>
      <c r="L701">
        <v>2</v>
      </c>
      <c r="M701">
        <v>5</v>
      </c>
      <c r="N701">
        <v>3</v>
      </c>
      <c r="O701">
        <v>4</v>
      </c>
      <c r="P701">
        <v>727.81</v>
      </c>
      <c r="Q701">
        <v>22</v>
      </c>
      <c r="S701">
        <f t="shared" si="40"/>
        <v>557.6865165165168</v>
      </c>
      <c r="T701">
        <f t="shared" si="41"/>
        <v>153</v>
      </c>
      <c r="U701">
        <f t="shared" si="42"/>
        <v>1.9139139139139139</v>
      </c>
      <c r="V701">
        <f t="shared" si="43"/>
        <v>557.6865165165168</v>
      </c>
    </row>
    <row r="702" spans="1:22" x14ac:dyDescent="0.25">
      <c r="A702">
        <v>1191</v>
      </c>
      <c r="B702" s="1">
        <v>43793</v>
      </c>
      <c r="C702" t="s">
        <v>40</v>
      </c>
      <c r="D702" t="s">
        <v>18</v>
      </c>
      <c r="E702" t="s">
        <v>32</v>
      </c>
      <c r="F702" t="s">
        <v>33</v>
      </c>
      <c r="G702" t="s">
        <v>21</v>
      </c>
      <c r="H702" t="s">
        <v>67</v>
      </c>
      <c r="I702" t="s">
        <v>23</v>
      </c>
      <c r="J702" t="s">
        <v>24</v>
      </c>
      <c r="K702" t="s">
        <v>25</v>
      </c>
      <c r="L702">
        <v>4</v>
      </c>
      <c r="M702">
        <v>4</v>
      </c>
      <c r="N702">
        <v>4</v>
      </c>
      <c r="O702">
        <v>2</v>
      </c>
      <c r="P702">
        <v>820.39</v>
      </c>
      <c r="Q702">
        <v>41</v>
      </c>
      <c r="S702">
        <f t="shared" si="40"/>
        <v>557.6865165165168</v>
      </c>
      <c r="T702">
        <f t="shared" si="41"/>
        <v>153</v>
      </c>
      <c r="U702">
        <f t="shared" si="42"/>
        <v>1.9139139139139139</v>
      </c>
      <c r="V702">
        <f t="shared" si="43"/>
        <v>557.6865165165168</v>
      </c>
    </row>
    <row r="703" spans="1:22" x14ac:dyDescent="0.25">
      <c r="A703">
        <v>1192</v>
      </c>
      <c r="B703" s="1">
        <v>44827</v>
      </c>
      <c r="C703" t="s">
        <v>17</v>
      </c>
      <c r="D703" t="s">
        <v>18</v>
      </c>
      <c r="E703" t="s">
        <v>32</v>
      </c>
      <c r="F703" t="s">
        <v>20</v>
      </c>
      <c r="G703" t="s">
        <v>21</v>
      </c>
      <c r="H703" t="s">
        <v>38</v>
      </c>
      <c r="I703" t="s">
        <v>23</v>
      </c>
      <c r="J703" t="s">
        <v>24</v>
      </c>
      <c r="K703" t="s">
        <v>25</v>
      </c>
      <c r="L703">
        <v>3</v>
      </c>
      <c r="M703">
        <v>1</v>
      </c>
      <c r="N703">
        <v>1</v>
      </c>
      <c r="O703">
        <v>4</v>
      </c>
      <c r="P703">
        <v>111.94</v>
      </c>
      <c r="Q703">
        <v>34</v>
      </c>
      <c r="S703">
        <f t="shared" si="40"/>
        <v>557.6865165165168</v>
      </c>
      <c r="T703">
        <f t="shared" si="41"/>
        <v>153</v>
      </c>
      <c r="U703">
        <f t="shared" si="42"/>
        <v>1.9139139139139139</v>
      </c>
      <c r="V703">
        <f t="shared" si="43"/>
        <v>557.6865165165168</v>
      </c>
    </row>
    <row r="704" spans="1:22" x14ac:dyDescent="0.25">
      <c r="A704">
        <v>1193</v>
      </c>
      <c r="B704" s="1">
        <v>43867</v>
      </c>
      <c r="C704" t="s">
        <v>52</v>
      </c>
      <c r="D704" t="s">
        <v>84</v>
      </c>
      <c r="E704" t="s">
        <v>32</v>
      </c>
      <c r="F704" t="s">
        <v>33</v>
      </c>
      <c r="G704" t="s">
        <v>21</v>
      </c>
      <c r="H704" t="s">
        <v>29</v>
      </c>
      <c r="I704" t="s">
        <v>23</v>
      </c>
      <c r="J704" t="s">
        <v>24</v>
      </c>
      <c r="K704" t="s">
        <v>25</v>
      </c>
      <c r="L704">
        <v>5</v>
      </c>
      <c r="M704">
        <v>2</v>
      </c>
      <c r="N704">
        <v>3</v>
      </c>
      <c r="O704">
        <v>1</v>
      </c>
      <c r="P704">
        <v>231.96</v>
      </c>
      <c r="Q704">
        <v>70</v>
      </c>
      <c r="S704">
        <f t="shared" si="40"/>
        <v>557.6865165165168</v>
      </c>
      <c r="T704">
        <f t="shared" si="41"/>
        <v>153</v>
      </c>
      <c r="U704">
        <f t="shared" si="42"/>
        <v>1.9139139139139139</v>
      </c>
      <c r="V704">
        <f t="shared" si="43"/>
        <v>557.6865165165168</v>
      </c>
    </row>
    <row r="705" spans="1:22" x14ac:dyDescent="0.25">
      <c r="A705">
        <v>1194</v>
      </c>
      <c r="B705" s="1">
        <v>43479</v>
      </c>
      <c r="C705" t="s">
        <v>26</v>
      </c>
      <c r="D705" t="s">
        <v>84</v>
      </c>
      <c r="E705" t="s">
        <v>32</v>
      </c>
      <c r="F705" t="s">
        <v>20</v>
      </c>
      <c r="G705" t="s">
        <v>21</v>
      </c>
      <c r="H705" t="s">
        <v>41</v>
      </c>
      <c r="I705" t="s">
        <v>23</v>
      </c>
      <c r="J705" t="s">
        <v>30</v>
      </c>
      <c r="K705" t="s">
        <v>25</v>
      </c>
      <c r="L705">
        <v>5</v>
      </c>
      <c r="M705">
        <v>4</v>
      </c>
      <c r="N705">
        <v>2</v>
      </c>
      <c r="O705">
        <v>2</v>
      </c>
      <c r="P705">
        <v>430.92</v>
      </c>
      <c r="Q705">
        <v>66</v>
      </c>
      <c r="S705">
        <f t="shared" si="40"/>
        <v>557.6865165165168</v>
      </c>
      <c r="T705">
        <f t="shared" si="41"/>
        <v>153</v>
      </c>
      <c r="U705">
        <f t="shared" si="42"/>
        <v>1.9139139139139139</v>
      </c>
      <c r="V705">
        <f t="shared" si="43"/>
        <v>557.6865165165168</v>
      </c>
    </row>
    <row r="706" spans="1:22" x14ac:dyDescent="0.25">
      <c r="A706">
        <v>1196</v>
      </c>
      <c r="B706" s="1">
        <v>43533</v>
      </c>
      <c r="C706" t="s">
        <v>60</v>
      </c>
      <c r="D706" t="s">
        <v>18</v>
      </c>
      <c r="E706" t="s">
        <v>28</v>
      </c>
      <c r="F706" t="s">
        <v>20</v>
      </c>
      <c r="G706" t="s">
        <v>21</v>
      </c>
      <c r="H706" t="s">
        <v>44</v>
      </c>
      <c r="I706" t="s">
        <v>23</v>
      </c>
      <c r="J706" t="s">
        <v>24</v>
      </c>
      <c r="K706" t="s">
        <v>25</v>
      </c>
      <c r="L706">
        <v>4</v>
      </c>
      <c r="M706">
        <v>5</v>
      </c>
      <c r="N706">
        <v>4</v>
      </c>
      <c r="O706">
        <v>5</v>
      </c>
      <c r="P706">
        <v>355.3</v>
      </c>
      <c r="Q706">
        <v>41</v>
      </c>
      <c r="S706">
        <f t="shared" ref="S706:S769" si="44">AVERAGE(P:P)-1</f>
        <v>557.6865165165168</v>
      </c>
      <c r="T706">
        <f t="shared" ref="T706:T769" si="45">COUNTIF(D:D,"Inactive")</f>
        <v>153</v>
      </c>
      <c r="U706">
        <f t="shared" ref="U706:U769" si="46">AVERAGE(L:L)-1</f>
        <v>1.9139139139139139</v>
      </c>
      <c r="V706">
        <f t="shared" ref="V706:V769" si="47">AVERAGE(P:P)-1</f>
        <v>557.6865165165168</v>
      </c>
    </row>
    <row r="707" spans="1:22" x14ac:dyDescent="0.25">
      <c r="A707">
        <v>1197</v>
      </c>
      <c r="B707" s="1">
        <v>43995</v>
      </c>
      <c r="C707" t="s">
        <v>43</v>
      </c>
      <c r="D707" t="s">
        <v>18</v>
      </c>
      <c r="E707" t="s">
        <v>32</v>
      </c>
      <c r="F707" t="s">
        <v>33</v>
      </c>
      <c r="G707" t="s">
        <v>21</v>
      </c>
      <c r="H707" t="s">
        <v>81</v>
      </c>
      <c r="I707" t="s">
        <v>23</v>
      </c>
      <c r="J707" t="s">
        <v>24</v>
      </c>
      <c r="K707" t="s">
        <v>25</v>
      </c>
      <c r="L707">
        <v>3</v>
      </c>
      <c r="M707">
        <v>5</v>
      </c>
      <c r="N707">
        <v>4</v>
      </c>
      <c r="O707">
        <v>5</v>
      </c>
      <c r="P707">
        <v>575.1</v>
      </c>
      <c r="Q707">
        <v>62</v>
      </c>
      <c r="S707">
        <f t="shared" si="44"/>
        <v>557.6865165165168</v>
      </c>
      <c r="T707">
        <f t="shared" si="45"/>
        <v>153</v>
      </c>
      <c r="U707">
        <f t="shared" si="46"/>
        <v>1.9139139139139139</v>
      </c>
      <c r="V707">
        <f t="shared" si="47"/>
        <v>557.6865165165168</v>
      </c>
    </row>
    <row r="708" spans="1:22" x14ac:dyDescent="0.25">
      <c r="A708">
        <v>1198</v>
      </c>
      <c r="B708" s="1">
        <v>43487</v>
      </c>
      <c r="C708" t="s">
        <v>49</v>
      </c>
      <c r="D708" t="s">
        <v>18</v>
      </c>
      <c r="E708" t="s">
        <v>19</v>
      </c>
      <c r="F708" t="s">
        <v>33</v>
      </c>
      <c r="G708" t="s">
        <v>21</v>
      </c>
      <c r="H708" t="s">
        <v>41</v>
      </c>
      <c r="I708" t="s">
        <v>23</v>
      </c>
      <c r="J708" t="s">
        <v>24</v>
      </c>
      <c r="K708" t="s">
        <v>25</v>
      </c>
      <c r="L708">
        <v>3</v>
      </c>
      <c r="M708">
        <v>2</v>
      </c>
      <c r="N708">
        <v>2</v>
      </c>
      <c r="O708">
        <v>1</v>
      </c>
      <c r="P708">
        <v>140.82</v>
      </c>
      <c r="Q708">
        <v>67</v>
      </c>
      <c r="S708">
        <f t="shared" si="44"/>
        <v>557.6865165165168</v>
      </c>
      <c r="T708">
        <f t="shared" si="45"/>
        <v>153</v>
      </c>
      <c r="U708">
        <f t="shared" si="46"/>
        <v>1.9139139139139139</v>
      </c>
      <c r="V708">
        <f t="shared" si="47"/>
        <v>557.6865165165168</v>
      </c>
    </row>
    <row r="709" spans="1:22" x14ac:dyDescent="0.25">
      <c r="A709">
        <v>1199</v>
      </c>
      <c r="B709" s="1">
        <v>44177</v>
      </c>
      <c r="C709" t="s">
        <v>31</v>
      </c>
      <c r="D709" t="s">
        <v>18</v>
      </c>
      <c r="E709" t="s">
        <v>32</v>
      </c>
      <c r="F709" t="s">
        <v>33</v>
      </c>
      <c r="G709" t="s">
        <v>21</v>
      </c>
      <c r="H709" t="s">
        <v>41</v>
      </c>
      <c r="I709" t="s">
        <v>23</v>
      </c>
      <c r="J709" t="s">
        <v>24</v>
      </c>
      <c r="K709" t="s">
        <v>25</v>
      </c>
      <c r="L709">
        <v>3</v>
      </c>
      <c r="M709">
        <v>3</v>
      </c>
      <c r="N709">
        <v>3</v>
      </c>
      <c r="O709">
        <v>2</v>
      </c>
      <c r="P709">
        <v>663.19</v>
      </c>
      <c r="Q709">
        <v>70</v>
      </c>
      <c r="S709">
        <f t="shared" si="44"/>
        <v>557.6865165165168</v>
      </c>
      <c r="T709">
        <f t="shared" si="45"/>
        <v>153</v>
      </c>
      <c r="U709">
        <f t="shared" si="46"/>
        <v>1.9139139139139139</v>
      </c>
      <c r="V709">
        <f t="shared" si="47"/>
        <v>557.6865165165168</v>
      </c>
    </row>
    <row r="710" spans="1:22" x14ac:dyDescent="0.25">
      <c r="A710">
        <v>1200</v>
      </c>
      <c r="B710" s="1">
        <v>44678</v>
      </c>
      <c r="C710" t="s">
        <v>40</v>
      </c>
      <c r="D710" t="s">
        <v>18</v>
      </c>
      <c r="E710" t="s">
        <v>28</v>
      </c>
      <c r="F710" t="s">
        <v>27</v>
      </c>
      <c r="G710" t="s">
        <v>21</v>
      </c>
      <c r="H710" t="s">
        <v>38</v>
      </c>
      <c r="I710" t="s">
        <v>23</v>
      </c>
      <c r="J710" t="s">
        <v>24</v>
      </c>
      <c r="K710" t="s">
        <v>25</v>
      </c>
      <c r="L710">
        <v>4</v>
      </c>
      <c r="M710">
        <v>5</v>
      </c>
      <c r="N710">
        <v>1</v>
      </c>
      <c r="O710">
        <v>2</v>
      </c>
      <c r="P710">
        <v>996.77</v>
      </c>
      <c r="Q710">
        <v>45</v>
      </c>
      <c r="S710">
        <f t="shared" si="44"/>
        <v>557.6865165165168</v>
      </c>
      <c r="T710">
        <f t="shared" si="45"/>
        <v>153</v>
      </c>
      <c r="U710">
        <f t="shared" si="46"/>
        <v>1.9139139139139139</v>
      </c>
      <c r="V710">
        <f t="shared" si="47"/>
        <v>557.6865165165168</v>
      </c>
    </row>
    <row r="711" spans="1:22" x14ac:dyDescent="0.25">
      <c r="A711">
        <v>1201</v>
      </c>
      <c r="B711" s="1">
        <v>44662</v>
      </c>
      <c r="C711" t="s">
        <v>17</v>
      </c>
      <c r="D711" t="s">
        <v>84</v>
      </c>
      <c r="E711" t="s">
        <v>19</v>
      </c>
      <c r="F711" t="s">
        <v>27</v>
      </c>
      <c r="G711" t="s">
        <v>21</v>
      </c>
      <c r="H711" t="s">
        <v>38</v>
      </c>
      <c r="I711" t="s">
        <v>23</v>
      </c>
      <c r="J711" t="s">
        <v>30</v>
      </c>
      <c r="K711" t="s">
        <v>25</v>
      </c>
      <c r="L711">
        <v>2</v>
      </c>
      <c r="M711">
        <v>4</v>
      </c>
      <c r="N711">
        <v>4</v>
      </c>
      <c r="O711">
        <v>2</v>
      </c>
      <c r="P711">
        <v>145.38999999999999</v>
      </c>
      <c r="Q711">
        <v>68</v>
      </c>
      <c r="S711">
        <f t="shared" si="44"/>
        <v>557.6865165165168</v>
      </c>
      <c r="T711">
        <f t="shared" si="45"/>
        <v>153</v>
      </c>
      <c r="U711">
        <f t="shared" si="46"/>
        <v>1.9139139139139139</v>
      </c>
      <c r="V711">
        <f t="shared" si="47"/>
        <v>557.6865165165168</v>
      </c>
    </row>
    <row r="712" spans="1:22" x14ac:dyDescent="0.25">
      <c r="A712">
        <v>1202</v>
      </c>
      <c r="B712" s="1">
        <v>44805</v>
      </c>
      <c r="C712" t="s">
        <v>52</v>
      </c>
      <c r="D712" t="s">
        <v>84</v>
      </c>
      <c r="E712" t="s">
        <v>19</v>
      </c>
      <c r="F712" t="s">
        <v>33</v>
      </c>
      <c r="G712" t="s">
        <v>21</v>
      </c>
      <c r="H712" t="s">
        <v>67</v>
      </c>
      <c r="I712" t="s">
        <v>23</v>
      </c>
      <c r="J712" t="s">
        <v>30</v>
      </c>
      <c r="K712" t="s">
        <v>25</v>
      </c>
      <c r="L712">
        <v>1</v>
      </c>
      <c r="M712">
        <v>3</v>
      </c>
      <c r="N712">
        <v>2</v>
      </c>
      <c r="O712">
        <v>1</v>
      </c>
      <c r="P712">
        <v>344.74</v>
      </c>
      <c r="Q712">
        <v>39</v>
      </c>
      <c r="S712">
        <f t="shared" si="44"/>
        <v>557.6865165165168</v>
      </c>
      <c r="T712">
        <f t="shared" si="45"/>
        <v>153</v>
      </c>
      <c r="U712">
        <f t="shared" si="46"/>
        <v>1.9139139139139139</v>
      </c>
      <c r="V712">
        <f t="shared" si="47"/>
        <v>557.6865165165168</v>
      </c>
    </row>
    <row r="713" spans="1:22" x14ac:dyDescent="0.25">
      <c r="A713">
        <v>1203</v>
      </c>
      <c r="B713" s="1">
        <v>43351</v>
      </c>
      <c r="C713" t="s">
        <v>26</v>
      </c>
      <c r="D713" t="s">
        <v>18</v>
      </c>
      <c r="E713" t="s">
        <v>19</v>
      </c>
      <c r="F713" t="s">
        <v>27</v>
      </c>
      <c r="G713" t="s">
        <v>21</v>
      </c>
      <c r="H713" t="s">
        <v>47</v>
      </c>
      <c r="I713" t="s">
        <v>23</v>
      </c>
      <c r="J713" t="s">
        <v>30</v>
      </c>
      <c r="K713" t="s">
        <v>25</v>
      </c>
      <c r="L713">
        <v>3</v>
      </c>
      <c r="M713">
        <v>5</v>
      </c>
      <c r="N713">
        <v>3</v>
      </c>
      <c r="O713">
        <v>5</v>
      </c>
      <c r="P713">
        <v>308.08999999999997</v>
      </c>
      <c r="Q713">
        <v>31</v>
      </c>
      <c r="S713">
        <f t="shared" si="44"/>
        <v>557.6865165165168</v>
      </c>
      <c r="T713">
        <f t="shared" si="45"/>
        <v>153</v>
      </c>
      <c r="U713">
        <f t="shared" si="46"/>
        <v>1.9139139139139139</v>
      </c>
      <c r="V713">
        <f t="shared" si="47"/>
        <v>557.6865165165168</v>
      </c>
    </row>
    <row r="714" spans="1:22" x14ac:dyDescent="0.25">
      <c r="A714">
        <v>1204</v>
      </c>
      <c r="B714" s="1">
        <v>44889</v>
      </c>
      <c r="C714" t="s">
        <v>54</v>
      </c>
      <c r="D714" t="s">
        <v>18</v>
      </c>
      <c r="E714" t="s">
        <v>32</v>
      </c>
      <c r="F714" t="s">
        <v>33</v>
      </c>
      <c r="G714" t="s">
        <v>21</v>
      </c>
      <c r="H714" t="s">
        <v>35</v>
      </c>
      <c r="I714" t="s">
        <v>23</v>
      </c>
      <c r="J714" t="s">
        <v>30</v>
      </c>
      <c r="K714" t="s">
        <v>25</v>
      </c>
      <c r="L714">
        <v>1</v>
      </c>
      <c r="M714">
        <v>4</v>
      </c>
      <c r="N714">
        <v>3</v>
      </c>
      <c r="O714">
        <v>1</v>
      </c>
      <c r="P714">
        <v>610.96</v>
      </c>
      <c r="Q714">
        <v>74</v>
      </c>
      <c r="S714">
        <f t="shared" si="44"/>
        <v>557.6865165165168</v>
      </c>
      <c r="T714">
        <f t="shared" si="45"/>
        <v>153</v>
      </c>
      <c r="U714">
        <f t="shared" si="46"/>
        <v>1.9139139139139139</v>
      </c>
      <c r="V714">
        <f t="shared" si="47"/>
        <v>557.6865165165168</v>
      </c>
    </row>
    <row r="715" spans="1:22" x14ac:dyDescent="0.25">
      <c r="A715">
        <v>1205</v>
      </c>
      <c r="B715" s="1">
        <v>44035</v>
      </c>
      <c r="C715" t="s">
        <v>37</v>
      </c>
      <c r="D715" t="s">
        <v>18</v>
      </c>
      <c r="E715" t="s">
        <v>32</v>
      </c>
      <c r="F715" t="s">
        <v>20</v>
      </c>
      <c r="G715" t="s">
        <v>21</v>
      </c>
      <c r="H715" t="s">
        <v>71</v>
      </c>
      <c r="I715" t="s">
        <v>23</v>
      </c>
      <c r="J715" t="s">
        <v>24</v>
      </c>
      <c r="K715" t="s">
        <v>25</v>
      </c>
      <c r="L715">
        <v>2</v>
      </c>
      <c r="M715">
        <v>1</v>
      </c>
      <c r="N715">
        <v>2</v>
      </c>
      <c r="O715">
        <v>3</v>
      </c>
      <c r="P715">
        <v>201.83</v>
      </c>
      <c r="Q715">
        <v>64</v>
      </c>
      <c r="S715">
        <f t="shared" si="44"/>
        <v>557.6865165165168</v>
      </c>
      <c r="T715">
        <f t="shared" si="45"/>
        <v>153</v>
      </c>
      <c r="U715">
        <f t="shared" si="46"/>
        <v>1.9139139139139139</v>
      </c>
      <c r="V715">
        <f t="shared" si="47"/>
        <v>557.6865165165168</v>
      </c>
    </row>
    <row r="716" spans="1:22" x14ac:dyDescent="0.25">
      <c r="A716">
        <v>1206</v>
      </c>
      <c r="B716" s="1">
        <v>43462</v>
      </c>
      <c r="C716" t="s">
        <v>60</v>
      </c>
      <c r="D716" t="s">
        <v>18</v>
      </c>
      <c r="E716" t="s">
        <v>28</v>
      </c>
      <c r="F716" t="s">
        <v>20</v>
      </c>
      <c r="G716" t="s">
        <v>21</v>
      </c>
      <c r="H716" t="s">
        <v>47</v>
      </c>
      <c r="I716" t="s">
        <v>23</v>
      </c>
      <c r="J716" t="s">
        <v>24</v>
      </c>
      <c r="K716" t="s">
        <v>25</v>
      </c>
      <c r="L716">
        <v>3</v>
      </c>
      <c r="M716">
        <v>4</v>
      </c>
      <c r="N716">
        <v>2</v>
      </c>
      <c r="O716">
        <v>5</v>
      </c>
      <c r="P716">
        <v>391.85</v>
      </c>
      <c r="Q716">
        <v>62</v>
      </c>
      <c r="S716">
        <f t="shared" si="44"/>
        <v>557.6865165165168</v>
      </c>
      <c r="T716">
        <f t="shared" si="45"/>
        <v>153</v>
      </c>
      <c r="U716">
        <f t="shared" si="46"/>
        <v>1.9139139139139139</v>
      </c>
      <c r="V716">
        <f t="shared" si="47"/>
        <v>557.6865165165168</v>
      </c>
    </row>
    <row r="717" spans="1:22" x14ac:dyDescent="0.25">
      <c r="A717">
        <v>1207</v>
      </c>
      <c r="B717" s="1">
        <v>43739</v>
      </c>
      <c r="C717" t="s">
        <v>43</v>
      </c>
      <c r="D717" t="s">
        <v>18</v>
      </c>
      <c r="E717" t="s">
        <v>19</v>
      </c>
      <c r="F717" t="s">
        <v>33</v>
      </c>
      <c r="G717" t="s">
        <v>21</v>
      </c>
      <c r="H717" t="s">
        <v>67</v>
      </c>
      <c r="I717" t="s">
        <v>23</v>
      </c>
      <c r="J717" t="s">
        <v>24</v>
      </c>
      <c r="K717" t="s">
        <v>25</v>
      </c>
      <c r="L717">
        <v>2</v>
      </c>
      <c r="M717">
        <v>1</v>
      </c>
      <c r="N717">
        <v>2</v>
      </c>
      <c r="O717">
        <v>5</v>
      </c>
      <c r="P717">
        <v>682.36</v>
      </c>
      <c r="Q717">
        <v>63</v>
      </c>
      <c r="S717">
        <f t="shared" si="44"/>
        <v>557.6865165165168</v>
      </c>
      <c r="T717">
        <f t="shared" si="45"/>
        <v>153</v>
      </c>
      <c r="U717">
        <f t="shared" si="46"/>
        <v>1.9139139139139139</v>
      </c>
      <c r="V717">
        <f t="shared" si="47"/>
        <v>557.6865165165168</v>
      </c>
    </row>
    <row r="718" spans="1:22" x14ac:dyDescent="0.25">
      <c r="A718">
        <v>1208</v>
      </c>
      <c r="B718" s="1">
        <v>43694</v>
      </c>
      <c r="C718" t="s">
        <v>49</v>
      </c>
      <c r="D718" t="s">
        <v>18</v>
      </c>
      <c r="E718" t="s">
        <v>19</v>
      </c>
      <c r="F718" t="s">
        <v>27</v>
      </c>
      <c r="G718" t="s">
        <v>21</v>
      </c>
      <c r="H718" t="s">
        <v>67</v>
      </c>
      <c r="I718" t="s">
        <v>23</v>
      </c>
      <c r="J718" t="s">
        <v>24</v>
      </c>
      <c r="K718" t="s">
        <v>25</v>
      </c>
      <c r="L718">
        <v>5</v>
      </c>
      <c r="M718">
        <v>1</v>
      </c>
      <c r="N718">
        <v>5</v>
      </c>
      <c r="O718">
        <v>3</v>
      </c>
      <c r="P718">
        <v>492.39</v>
      </c>
      <c r="Q718">
        <v>40</v>
      </c>
      <c r="S718">
        <f t="shared" si="44"/>
        <v>557.6865165165168</v>
      </c>
      <c r="T718">
        <f t="shared" si="45"/>
        <v>153</v>
      </c>
      <c r="U718">
        <f t="shared" si="46"/>
        <v>1.9139139139139139</v>
      </c>
      <c r="V718">
        <f t="shared" si="47"/>
        <v>557.6865165165168</v>
      </c>
    </row>
    <row r="719" spans="1:22" x14ac:dyDescent="0.25">
      <c r="A719">
        <v>1209</v>
      </c>
      <c r="B719" s="1">
        <v>45077</v>
      </c>
      <c r="C719" t="s">
        <v>31</v>
      </c>
      <c r="D719" t="s">
        <v>18</v>
      </c>
      <c r="E719" t="s">
        <v>28</v>
      </c>
      <c r="F719" t="s">
        <v>27</v>
      </c>
      <c r="G719" t="s">
        <v>21</v>
      </c>
      <c r="H719" t="s">
        <v>67</v>
      </c>
      <c r="I719" t="s">
        <v>23</v>
      </c>
      <c r="J719" t="s">
        <v>24</v>
      </c>
      <c r="K719" t="s">
        <v>25</v>
      </c>
      <c r="L719">
        <v>1</v>
      </c>
      <c r="M719">
        <v>3</v>
      </c>
      <c r="N719">
        <v>1</v>
      </c>
      <c r="O719">
        <v>2</v>
      </c>
      <c r="P719">
        <v>197.78</v>
      </c>
      <c r="Q719">
        <v>24</v>
      </c>
      <c r="S719">
        <f t="shared" si="44"/>
        <v>557.6865165165168</v>
      </c>
      <c r="T719">
        <f t="shared" si="45"/>
        <v>153</v>
      </c>
      <c r="U719">
        <f t="shared" si="46"/>
        <v>1.9139139139139139</v>
      </c>
      <c r="V719">
        <f t="shared" si="47"/>
        <v>557.6865165165168</v>
      </c>
    </row>
    <row r="720" spans="1:22" x14ac:dyDescent="0.25">
      <c r="A720">
        <v>1210</v>
      </c>
      <c r="B720" s="1">
        <v>44173</v>
      </c>
      <c r="C720" t="s">
        <v>40</v>
      </c>
      <c r="D720" t="s">
        <v>18</v>
      </c>
      <c r="E720" t="s">
        <v>32</v>
      </c>
      <c r="F720" t="s">
        <v>33</v>
      </c>
      <c r="G720" t="s">
        <v>21</v>
      </c>
      <c r="H720" t="s">
        <v>41</v>
      </c>
      <c r="I720" t="s">
        <v>23</v>
      </c>
      <c r="J720" t="s">
        <v>24</v>
      </c>
      <c r="K720" t="s">
        <v>25</v>
      </c>
      <c r="L720">
        <v>4</v>
      </c>
      <c r="M720">
        <v>5</v>
      </c>
      <c r="N720">
        <v>1</v>
      </c>
      <c r="O720">
        <v>4</v>
      </c>
      <c r="P720">
        <v>485.44</v>
      </c>
      <c r="Q720">
        <v>72</v>
      </c>
      <c r="S720">
        <f t="shared" si="44"/>
        <v>557.6865165165168</v>
      </c>
      <c r="T720">
        <f t="shared" si="45"/>
        <v>153</v>
      </c>
      <c r="U720">
        <f t="shared" si="46"/>
        <v>1.9139139139139139</v>
      </c>
      <c r="V720">
        <f t="shared" si="47"/>
        <v>557.6865165165168</v>
      </c>
    </row>
    <row r="721" spans="1:22" x14ac:dyDescent="0.25">
      <c r="A721">
        <v>1211</v>
      </c>
      <c r="B721" s="1">
        <v>43409</v>
      </c>
      <c r="C721" t="s">
        <v>17</v>
      </c>
      <c r="D721" t="s">
        <v>84</v>
      </c>
      <c r="E721" t="s">
        <v>28</v>
      </c>
      <c r="F721" t="s">
        <v>33</v>
      </c>
      <c r="G721" t="s">
        <v>21</v>
      </c>
      <c r="H721" t="s">
        <v>41</v>
      </c>
      <c r="I721" t="s">
        <v>23</v>
      </c>
      <c r="J721" t="s">
        <v>30</v>
      </c>
      <c r="K721" t="s">
        <v>25</v>
      </c>
      <c r="L721">
        <v>3</v>
      </c>
      <c r="M721">
        <v>3</v>
      </c>
      <c r="N721">
        <v>1</v>
      </c>
      <c r="O721">
        <v>3</v>
      </c>
      <c r="P721">
        <v>557.34</v>
      </c>
      <c r="Q721">
        <v>37</v>
      </c>
      <c r="S721">
        <f t="shared" si="44"/>
        <v>557.6865165165168</v>
      </c>
      <c r="T721">
        <f t="shared" si="45"/>
        <v>153</v>
      </c>
      <c r="U721">
        <f t="shared" si="46"/>
        <v>1.9139139139139139</v>
      </c>
      <c r="V721">
        <f t="shared" si="47"/>
        <v>557.6865165165168</v>
      </c>
    </row>
    <row r="722" spans="1:22" x14ac:dyDescent="0.25">
      <c r="A722">
        <v>1212</v>
      </c>
      <c r="B722" s="1">
        <v>44069</v>
      </c>
      <c r="C722" t="s">
        <v>26</v>
      </c>
      <c r="D722" t="s">
        <v>84</v>
      </c>
      <c r="E722" t="s">
        <v>19</v>
      </c>
      <c r="F722" t="s">
        <v>20</v>
      </c>
      <c r="G722" t="s">
        <v>21</v>
      </c>
      <c r="H722" t="s">
        <v>47</v>
      </c>
      <c r="I722" t="s">
        <v>23</v>
      </c>
      <c r="J722" t="s">
        <v>24</v>
      </c>
      <c r="K722" t="s">
        <v>25</v>
      </c>
      <c r="L722">
        <v>4</v>
      </c>
      <c r="M722">
        <v>5</v>
      </c>
      <c r="N722">
        <v>4</v>
      </c>
      <c r="O722">
        <v>5</v>
      </c>
      <c r="P722">
        <v>817.92</v>
      </c>
      <c r="Q722">
        <v>37</v>
      </c>
      <c r="S722">
        <f t="shared" si="44"/>
        <v>557.6865165165168</v>
      </c>
      <c r="T722">
        <f t="shared" si="45"/>
        <v>153</v>
      </c>
      <c r="U722">
        <f t="shared" si="46"/>
        <v>1.9139139139139139</v>
      </c>
      <c r="V722">
        <f t="shared" si="47"/>
        <v>557.6865165165168</v>
      </c>
    </row>
    <row r="723" spans="1:22" x14ac:dyDescent="0.25">
      <c r="A723">
        <v>1213</v>
      </c>
      <c r="B723" s="1">
        <v>43884</v>
      </c>
      <c r="C723" t="s">
        <v>54</v>
      </c>
      <c r="D723" t="s">
        <v>18</v>
      </c>
      <c r="E723" t="s">
        <v>28</v>
      </c>
      <c r="F723" t="s">
        <v>27</v>
      </c>
      <c r="G723" t="s">
        <v>21</v>
      </c>
      <c r="H723" t="s">
        <v>62</v>
      </c>
      <c r="I723" t="s">
        <v>23</v>
      </c>
      <c r="J723" t="s">
        <v>24</v>
      </c>
      <c r="K723" t="s">
        <v>25</v>
      </c>
      <c r="L723">
        <v>1</v>
      </c>
      <c r="M723">
        <v>2</v>
      </c>
      <c r="N723">
        <v>4</v>
      </c>
      <c r="O723">
        <v>4</v>
      </c>
      <c r="P723">
        <v>485.39</v>
      </c>
      <c r="Q723">
        <v>33</v>
      </c>
      <c r="S723">
        <f t="shared" si="44"/>
        <v>557.6865165165168</v>
      </c>
      <c r="T723">
        <f t="shared" si="45"/>
        <v>153</v>
      </c>
      <c r="U723">
        <f t="shared" si="46"/>
        <v>1.9139139139139139</v>
      </c>
      <c r="V723">
        <f t="shared" si="47"/>
        <v>557.6865165165168</v>
      </c>
    </row>
    <row r="724" spans="1:22" x14ac:dyDescent="0.25">
      <c r="A724">
        <v>1214</v>
      </c>
      <c r="B724" s="1">
        <v>44604</v>
      </c>
      <c r="C724" t="s">
        <v>49</v>
      </c>
      <c r="D724" t="s">
        <v>18</v>
      </c>
      <c r="E724" t="s">
        <v>32</v>
      </c>
      <c r="F724" t="s">
        <v>33</v>
      </c>
      <c r="G724" t="s">
        <v>21</v>
      </c>
      <c r="H724" t="s">
        <v>56</v>
      </c>
      <c r="I724" t="s">
        <v>23</v>
      </c>
      <c r="J724" t="s">
        <v>24</v>
      </c>
      <c r="K724" t="s">
        <v>25</v>
      </c>
      <c r="L724">
        <v>1</v>
      </c>
      <c r="M724">
        <v>5</v>
      </c>
      <c r="N724">
        <v>3</v>
      </c>
      <c r="O724">
        <v>3</v>
      </c>
      <c r="P724">
        <v>145.13</v>
      </c>
      <c r="Q724">
        <v>55</v>
      </c>
      <c r="S724">
        <f t="shared" si="44"/>
        <v>557.6865165165168</v>
      </c>
      <c r="T724">
        <f t="shared" si="45"/>
        <v>153</v>
      </c>
      <c r="U724">
        <f t="shared" si="46"/>
        <v>1.9139139139139139</v>
      </c>
      <c r="V724">
        <f t="shared" si="47"/>
        <v>557.6865165165168</v>
      </c>
    </row>
    <row r="725" spans="1:22" x14ac:dyDescent="0.25">
      <c r="A725">
        <v>1215</v>
      </c>
      <c r="B725" s="1">
        <v>43874</v>
      </c>
      <c r="C725" t="s">
        <v>31</v>
      </c>
      <c r="D725" t="s">
        <v>18</v>
      </c>
      <c r="E725" t="s">
        <v>19</v>
      </c>
      <c r="F725" t="s">
        <v>20</v>
      </c>
      <c r="G725" t="s">
        <v>21</v>
      </c>
      <c r="H725" t="s">
        <v>29</v>
      </c>
      <c r="I725" t="s">
        <v>23</v>
      </c>
      <c r="J725" t="s">
        <v>24</v>
      </c>
      <c r="K725" t="s">
        <v>25</v>
      </c>
      <c r="L725">
        <v>2</v>
      </c>
      <c r="M725">
        <v>1</v>
      </c>
      <c r="N725">
        <v>5</v>
      </c>
      <c r="O725">
        <v>4</v>
      </c>
      <c r="P725">
        <v>751.88</v>
      </c>
      <c r="Q725">
        <v>37</v>
      </c>
      <c r="S725">
        <f t="shared" si="44"/>
        <v>557.6865165165168</v>
      </c>
      <c r="T725">
        <f t="shared" si="45"/>
        <v>153</v>
      </c>
      <c r="U725">
        <f t="shared" si="46"/>
        <v>1.9139139139139139</v>
      </c>
      <c r="V725">
        <f t="shared" si="47"/>
        <v>557.6865165165168</v>
      </c>
    </row>
    <row r="726" spans="1:22" x14ac:dyDescent="0.25">
      <c r="A726">
        <v>1216</v>
      </c>
      <c r="B726" s="1">
        <v>44972</v>
      </c>
      <c r="C726" t="s">
        <v>60</v>
      </c>
      <c r="D726" t="s">
        <v>84</v>
      </c>
      <c r="E726" t="s">
        <v>28</v>
      </c>
      <c r="F726" t="s">
        <v>33</v>
      </c>
      <c r="G726" t="s">
        <v>21</v>
      </c>
      <c r="H726" t="s">
        <v>38</v>
      </c>
      <c r="I726" t="s">
        <v>23</v>
      </c>
      <c r="J726" t="s">
        <v>24</v>
      </c>
      <c r="K726" t="s">
        <v>25</v>
      </c>
      <c r="L726">
        <v>4</v>
      </c>
      <c r="M726">
        <v>1</v>
      </c>
      <c r="N726">
        <v>1</v>
      </c>
      <c r="O726">
        <v>1</v>
      </c>
      <c r="P726">
        <v>136.47999999999999</v>
      </c>
      <c r="Q726">
        <v>37</v>
      </c>
      <c r="S726">
        <f t="shared" si="44"/>
        <v>557.6865165165168</v>
      </c>
      <c r="T726">
        <f t="shared" si="45"/>
        <v>153</v>
      </c>
      <c r="U726">
        <f t="shared" si="46"/>
        <v>1.9139139139139139</v>
      </c>
      <c r="V726">
        <f t="shared" si="47"/>
        <v>557.6865165165168</v>
      </c>
    </row>
    <row r="727" spans="1:22" x14ac:dyDescent="0.25">
      <c r="A727">
        <v>1217</v>
      </c>
      <c r="B727" s="1">
        <v>43802</v>
      </c>
      <c r="C727" t="s">
        <v>52</v>
      </c>
      <c r="D727" t="s">
        <v>84</v>
      </c>
      <c r="E727" t="s">
        <v>32</v>
      </c>
      <c r="F727" t="s">
        <v>33</v>
      </c>
      <c r="G727" t="s">
        <v>21</v>
      </c>
      <c r="H727" t="s">
        <v>67</v>
      </c>
      <c r="I727" t="s">
        <v>23</v>
      </c>
      <c r="J727" t="s">
        <v>30</v>
      </c>
      <c r="K727" t="s">
        <v>25</v>
      </c>
      <c r="L727">
        <v>5</v>
      </c>
      <c r="M727">
        <v>5</v>
      </c>
      <c r="N727">
        <v>1</v>
      </c>
      <c r="O727">
        <v>1</v>
      </c>
      <c r="P727">
        <v>857.42</v>
      </c>
      <c r="Q727">
        <v>59</v>
      </c>
      <c r="S727">
        <f t="shared" si="44"/>
        <v>557.6865165165168</v>
      </c>
      <c r="T727">
        <f t="shared" si="45"/>
        <v>153</v>
      </c>
      <c r="U727">
        <f t="shared" si="46"/>
        <v>1.9139139139139139</v>
      </c>
      <c r="V727">
        <f t="shared" si="47"/>
        <v>557.6865165165168</v>
      </c>
    </row>
    <row r="728" spans="1:22" x14ac:dyDescent="0.25">
      <c r="A728">
        <v>1218</v>
      </c>
      <c r="B728" s="1">
        <v>43465</v>
      </c>
      <c r="C728" t="s">
        <v>43</v>
      </c>
      <c r="D728" t="s">
        <v>18</v>
      </c>
      <c r="E728" t="s">
        <v>32</v>
      </c>
      <c r="F728" t="s">
        <v>33</v>
      </c>
      <c r="G728" t="s">
        <v>21</v>
      </c>
      <c r="H728" t="s">
        <v>38</v>
      </c>
      <c r="I728" t="s">
        <v>23</v>
      </c>
      <c r="J728" t="s">
        <v>24</v>
      </c>
      <c r="K728" t="s">
        <v>25</v>
      </c>
      <c r="L728">
        <v>2</v>
      </c>
      <c r="M728">
        <v>3</v>
      </c>
      <c r="N728">
        <v>1</v>
      </c>
      <c r="O728">
        <v>3</v>
      </c>
      <c r="P728">
        <v>733.16</v>
      </c>
      <c r="Q728">
        <v>44</v>
      </c>
      <c r="S728">
        <f t="shared" si="44"/>
        <v>557.6865165165168</v>
      </c>
      <c r="T728">
        <f t="shared" si="45"/>
        <v>153</v>
      </c>
      <c r="U728">
        <f t="shared" si="46"/>
        <v>1.9139139139139139</v>
      </c>
      <c r="V728">
        <f t="shared" si="47"/>
        <v>557.6865165165168</v>
      </c>
    </row>
    <row r="729" spans="1:22" x14ac:dyDescent="0.25">
      <c r="A729">
        <v>1219</v>
      </c>
      <c r="B729" s="1">
        <v>43846</v>
      </c>
      <c r="C729" t="s">
        <v>40</v>
      </c>
      <c r="D729" t="s">
        <v>84</v>
      </c>
      <c r="E729" t="s">
        <v>28</v>
      </c>
      <c r="F729" t="s">
        <v>33</v>
      </c>
      <c r="G729" t="s">
        <v>21</v>
      </c>
      <c r="H729" t="s">
        <v>47</v>
      </c>
      <c r="I729" t="s">
        <v>23</v>
      </c>
      <c r="J729" t="s">
        <v>24</v>
      </c>
      <c r="K729" t="s">
        <v>25</v>
      </c>
      <c r="L729">
        <v>2</v>
      </c>
      <c r="M729">
        <v>2</v>
      </c>
      <c r="N729">
        <v>2</v>
      </c>
      <c r="O729">
        <v>5</v>
      </c>
      <c r="P729">
        <v>761.31</v>
      </c>
      <c r="Q729">
        <v>46</v>
      </c>
      <c r="S729">
        <f t="shared" si="44"/>
        <v>557.6865165165168</v>
      </c>
      <c r="T729">
        <f t="shared" si="45"/>
        <v>153</v>
      </c>
      <c r="U729">
        <f t="shared" si="46"/>
        <v>1.9139139139139139</v>
      </c>
      <c r="V729">
        <f t="shared" si="47"/>
        <v>557.6865165165168</v>
      </c>
    </row>
    <row r="730" spans="1:22" x14ac:dyDescent="0.25">
      <c r="A730">
        <v>1220</v>
      </c>
      <c r="B730" s="1">
        <v>43424</v>
      </c>
      <c r="C730" t="s">
        <v>17</v>
      </c>
      <c r="D730" t="s">
        <v>84</v>
      </c>
      <c r="E730" t="s">
        <v>32</v>
      </c>
      <c r="F730" t="s">
        <v>20</v>
      </c>
      <c r="G730" t="s">
        <v>21</v>
      </c>
      <c r="H730" t="s">
        <v>50</v>
      </c>
      <c r="I730" t="s">
        <v>23</v>
      </c>
      <c r="J730" t="s">
        <v>24</v>
      </c>
      <c r="K730" t="s">
        <v>25</v>
      </c>
      <c r="L730">
        <v>5</v>
      </c>
      <c r="M730">
        <v>2</v>
      </c>
      <c r="N730">
        <v>4</v>
      </c>
      <c r="O730">
        <v>1</v>
      </c>
      <c r="P730">
        <v>920.41</v>
      </c>
      <c r="Q730">
        <v>69</v>
      </c>
      <c r="S730">
        <f t="shared" si="44"/>
        <v>557.6865165165168</v>
      </c>
      <c r="T730">
        <f t="shared" si="45"/>
        <v>153</v>
      </c>
      <c r="U730">
        <f t="shared" si="46"/>
        <v>1.9139139139139139</v>
      </c>
      <c r="V730">
        <f t="shared" si="47"/>
        <v>557.6865165165168</v>
      </c>
    </row>
    <row r="731" spans="1:22" x14ac:dyDescent="0.25">
      <c r="A731">
        <v>1221</v>
      </c>
      <c r="B731" s="1">
        <v>44876</v>
      </c>
      <c r="C731" t="s">
        <v>26</v>
      </c>
      <c r="D731" t="s">
        <v>84</v>
      </c>
      <c r="E731" t="s">
        <v>28</v>
      </c>
      <c r="F731" t="s">
        <v>27</v>
      </c>
      <c r="G731" t="s">
        <v>21</v>
      </c>
      <c r="H731" t="s">
        <v>71</v>
      </c>
      <c r="I731" t="s">
        <v>23</v>
      </c>
      <c r="J731" t="s">
        <v>24</v>
      </c>
      <c r="K731" t="s">
        <v>25</v>
      </c>
      <c r="L731">
        <v>5</v>
      </c>
      <c r="M731">
        <v>5</v>
      </c>
      <c r="N731">
        <v>3</v>
      </c>
      <c r="O731">
        <v>4</v>
      </c>
      <c r="P731">
        <v>167.69</v>
      </c>
      <c r="Q731">
        <v>55</v>
      </c>
      <c r="S731">
        <f t="shared" si="44"/>
        <v>557.6865165165168</v>
      </c>
      <c r="T731">
        <f t="shared" si="45"/>
        <v>153</v>
      </c>
      <c r="U731">
        <f t="shared" si="46"/>
        <v>1.9139139139139139</v>
      </c>
      <c r="V731">
        <f t="shared" si="47"/>
        <v>557.6865165165168</v>
      </c>
    </row>
    <row r="732" spans="1:22" x14ac:dyDescent="0.25">
      <c r="A732">
        <v>1222</v>
      </c>
      <c r="B732" s="1">
        <v>44183</v>
      </c>
      <c r="C732" t="s">
        <v>54</v>
      </c>
      <c r="D732" t="s">
        <v>84</v>
      </c>
      <c r="E732" t="s">
        <v>19</v>
      </c>
      <c r="F732" t="s">
        <v>27</v>
      </c>
      <c r="G732" t="s">
        <v>21</v>
      </c>
      <c r="H732" t="s">
        <v>70</v>
      </c>
      <c r="I732" t="s">
        <v>23</v>
      </c>
      <c r="J732" t="s">
        <v>24</v>
      </c>
      <c r="K732" t="s">
        <v>25</v>
      </c>
      <c r="L732">
        <v>5</v>
      </c>
      <c r="M732">
        <v>2</v>
      </c>
      <c r="N732">
        <v>1</v>
      </c>
      <c r="O732">
        <v>2</v>
      </c>
      <c r="P732">
        <v>931.45</v>
      </c>
      <c r="Q732">
        <v>71</v>
      </c>
      <c r="S732">
        <f t="shared" si="44"/>
        <v>557.6865165165168</v>
      </c>
      <c r="T732">
        <f t="shared" si="45"/>
        <v>153</v>
      </c>
      <c r="U732">
        <f t="shared" si="46"/>
        <v>1.9139139139139139</v>
      </c>
      <c r="V732">
        <f t="shared" si="47"/>
        <v>557.6865165165168</v>
      </c>
    </row>
    <row r="733" spans="1:22" x14ac:dyDescent="0.25">
      <c r="A733">
        <v>1223</v>
      </c>
      <c r="B733" s="1">
        <v>44222</v>
      </c>
      <c r="C733" t="s">
        <v>49</v>
      </c>
      <c r="D733" t="s">
        <v>18</v>
      </c>
      <c r="E733" t="s">
        <v>32</v>
      </c>
      <c r="F733" t="s">
        <v>20</v>
      </c>
      <c r="G733" t="s">
        <v>21</v>
      </c>
      <c r="H733" t="s">
        <v>47</v>
      </c>
      <c r="I733" t="s">
        <v>23</v>
      </c>
      <c r="J733" t="s">
        <v>24</v>
      </c>
      <c r="K733" t="s">
        <v>25</v>
      </c>
      <c r="L733">
        <v>4</v>
      </c>
      <c r="M733">
        <v>1</v>
      </c>
      <c r="N733">
        <v>4</v>
      </c>
      <c r="O733">
        <v>1</v>
      </c>
      <c r="P733">
        <v>474.36</v>
      </c>
      <c r="Q733">
        <v>25</v>
      </c>
      <c r="S733">
        <f t="shared" si="44"/>
        <v>557.6865165165168</v>
      </c>
      <c r="T733">
        <f t="shared" si="45"/>
        <v>153</v>
      </c>
      <c r="U733">
        <f t="shared" si="46"/>
        <v>1.9139139139139139</v>
      </c>
      <c r="V733">
        <f t="shared" si="47"/>
        <v>557.6865165165168</v>
      </c>
    </row>
    <row r="734" spans="1:22" x14ac:dyDescent="0.25">
      <c r="A734">
        <v>1224</v>
      </c>
      <c r="B734" s="1">
        <v>44526</v>
      </c>
      <c r="C734" t="s">
        <v>31</v>
      </c>
      <c r="D734" t="s">
        <v>84</v>
      </c>
      <c r="E734" t="s">
        <v>28</v>
      </c>
      <c r="F734" t="s">
        <v>33</v>
      </c>
      <c r="G734" t="s">
        <v>21</v>
      </c>
      <c r="H734" t="s">
        <v>67</v>
      </c>
      <c r="I734" t="s">
        <v>23</v>
      </c>
      <c r="J734" t="s">
        <v>30</v>
      </c>
      <c r="K734" t="s">
        <v>25</v>
      </c>
      <c r="L734">
        <v>4</v>
      </c>
      <c r="M734">
        <v>2</v>
      </c>
      <c r="N734">
        <v>3</v>
      </c>
      <c r="O734">
        <v>5</v>
      </c>
      <c r="P734">
        <v>598.72</v>
      </c>
      <c r="Q734">
        <v>57</v>
      </c>
      <c r="S734">
        <f t="shared" si="44"/>
        <v>557.6865165165168</v>
      </c>
      <c r="T734">
        <f t="shared" si="45"/>
        <v>153</v>
      </c>
      <c r="U734">
        <f t="shared" si="46"/>
        <v>1.9139139139139139</v>
      </c>
      <c r="V734">
        <f t="shared" si="47"/>
        <v>557.6865165165168</v>
      </c>
    </row>
    <row r="735" spans="1:22" x14ac:dyDescent="0.25">
      <c r="A735">
        <v>1225</v>
      </c>
      <c r="B735" s="1">
        <v>45061</v>
      </c>
      <c r="C735" t="s">
        <v>60</v>
      </c>
      <c r="D735" t="s">
        <v>18</v>
      </c>
      <c r="E735" t="s">
        <v>19</v>
      </c>
      <c r="F735" t="s">
        <v>20</v>
      </c>
      <c r="G735" t="s">
        <v>21</v>
      </c>
      <c r="H735" t="s">
        <v>22</v>
      </c>
      <c r="I735" t="s">
        <v>23</v>
      </c>
      <c r="J735" t="s">
        <v>30</v>
      </c>
      <c r="K735" t="s">
        <v>25</v>
      </c>
      <c r="L735">
        <v>1</v>
      </c>
      <c r="M735">
        <v>2</v>
      </c>
      <c r="N735">
        <v>4</v>
      </c>
      <c r="O735">
        <v>5</v>
      </c>
      <c r="P735">
        <v>557.02</v>
      </c>
      <c r="Q735">
        <v>66</v>
      </c>
      <c r="S735">
        <f t="shared" si="44"/>
        <v>557.6865165165168</v>
      </c>
      <c r="T735">
        <f t="shared" si="45"/>
        <v>153</v>
      </c>
      <c r="U735">
        <f t="shared" si="46"/>
        <v>1.9139139139139139</v>
      </c>
      <c r="V735">
        <f t="shared" si="47"/>
        <v>557.6865165165168</v>
      </c>
    </row>
    <row r="736" spans="1:22" x14ac:dyDescent="0.25">
      <c r="A736">
        <v>1226</v>
      </c>
      <c r="B736" s="1">
        <v>45097</v>
      </c>
      <c r="C736" t="s">
        <v>52</v>
      </c>
      <c r="D736" t="s">
        <v>18</v>
      </c>
      <c r="E736" t="s">
        <v>32</v>
      </c>
      <c r="F736" t="s">
        <v>27</v>
      </c>
      <c r="G736" t="s">
        <v>21</v>
      </c>
      <c r="H736" t="s">
        <v>41</v>
      </c>
      <c r="I736" t="s">
        <v>23</v>
      </c>
      <c r="J736" t="s">
        <v>30</v>
      </c>
      <c r="K736" t="s">
        <v>25</v>
      </c>
      <c r="L736">
        <v>4</v>
      </c>
      <c r="M736">
        <v>5</v>
      </c>
      <c r="N736">
        <v>4</v>
      </c>
      <c r="O736">
        <v>3</v>
      </c>
      <c r="P736">
        <v>939.92</v>
      </c>
      <c r="Q736">
        <v>56</v>
      </c>
      <c r="S736">
        <f t="shared" si="44"/>
        <v>557.6865165165168</v>
      </c>
      <c r="T736">
        <f t="shared" si="45"/>
        <v>153</v>
      </c>
      <c r="U736">
        <f t="shared" si="46"/>
        <v>1.9139139139139139</v>
      </c>
      <c r="V736">
        <f t="shared" si="47"/>
        <v>557.6865165165168</v>
      </c>
    </row>
    <row r="737" spans="1:22" x14ac:dyDescent="0.25">
      <c r="A737">
        <v>1227</v>
      </c>
      <c r="B737" s="1">
        <v>43699</v>
      </c>
      <c r="C737" t="s">
        <v>37</v>
      </c>
      <c r="D737" t="s">
        <v>18</v>
      </c>
      <c r="E737" t="s">
        <v>28</v>
      </c>
      <c r="F737" t="s">
        <v>20</v>
      </c>
      <c r="G737" t="s">
        <v>21</v>
      </c>
      <c r="H737" t="s">
        <v>73</v>
      </c>
      <c r="I737" t="s">
        <v>23</v>
      </c>
      <c r="J737" t="s">
        <v>24</v>
      </c>
      <c r="K737" t="s">
        <v>25</v>
      </c>
      <c r="L737">
        <v>1</v>
      </c>
      <c r="M737">
        <v>2</v>
      </c>
      <c r="N737">
        <v>2</v>
      </c>
      <c r="O737">
        <v>3</v>
      </c>
      <c r="P737">
        <v>669.19</v>
      </c>
      <c r="Q737">
        <v>32</v>
      </c>
      <c r="S737">
        <f t="shared" si="44"/>
        <v>557.6865165165168</v>
      </c>
      <c r="T737">
        <f t="shared" si="45"/>
        <v>153</v>
      </c>
      <c r="U737">
        <f t="shared" si="46"/>
        <v>1.9139139139139139</v>
      </c>
      <c r="V737">
        <f t="shared" si="47"/>
        <v>557.6865165165168</v>
      </c>
    </row>
    <row r="738" spans="1:22" x14ac:dyDescent="0.25">
      <c r="A738">
        <v>1228</v>
      </c>
      <c r="B738" s="1">
        <v>44438</v>
      </c>
      <c r="C738" t="s">
        <v>43</v>
      </c>
      <c r="D738" t="s">
        <v>18</v>
      </c>
      <c r="E738" t="s">
        <v>19</v>
      </c>
      <c r="F738" t="s">
        <v>33</v>
      </c>
      <c r="G738" t="s">
        <v>21</v>
      </c>
      <c r="H738" t="s">
        <v>63</v>
      </c>
      <c r="I738" t="s">
        <v>23</v>
      </c>
      <c r="J738" t="s">
        <v>24</v>
      </c>
      <c r="K738" t="s">
        <v>25</v>
      </c>
      <c r="L738">
        <v>2</v>
      </c>
      <c r="M738">
        <v>5</v>
      </c>
      <c r="N738">
        <v>3</v>
      </c>
      <c r="O738">
        <v>5</v>
      </c>
      <c r="P738">
        <v>525.69000000000005</v>
      </c>
      <c r="Q738">
        <v>27</v>
      </c>
      <c r="S738">
        <f t="shared" si="44"/>
        <v>557.6865165165168</v>
      </c>
      <c r="T738">
        <f t="shared" si="45"/>
        <v>153</v>
      </c>
      <c r="U738">
        <f t="shared" si="46"/>
        <v>1.9139139139139139</v>
      </c>
      <c r="V738">
        <f t="shared" si="47"/>
        <v>557.6865165165168</v>
      </c>
    </row>
    <row r="739" spans="1:22" x14ac:dyDescent="0.25">
      <c r="A739">
        <v>1229</v>
      </c>
      <c r="B739" s="1">
        <v>43857</v>
      </c>
      <c r="C739" t="s">
        <v>40</v>
      </c>
      <c r="D739" t="s">
        <v>18</v>
      </c>
      <c r="E739" t="s">
        <v>28</v>
      </c>
      <c r="F739" t="s">
        <v>33</v>
      </c>
      <c r="G739" t="s">
        <v>21</v>
      </c>
      <c r="H739" t="s">
        <v>41</v>
      </c>
      <c r="I739" t="s">
        <v>23</v>
      </c>
      <c r="J739" t="s">
        <v>24</v>
      </c>
      <c r="K739" t="s">
        <v>25</v>
      </c>
      <c r="L739">
        <v>4</v>
      </c>
      <c r="M739">
        <v>2</v>
      </c>
      <c r="N739">
        <v>5</v>
      </c>
      <c r="O739">
        <v>1</v>
      </c>
      <c r="P739">
        <v>173.66</v>
      </c>
      <c r="Q739">
        <v>68</v>
      </c>
      <c r="S739">
        <f t="shared" si="44"/>
        <v>557.6865165165168</v>
      </c>
      <c r="T739">
        <f t="shared" si="45"/>
        <v>153</v>
      </c>
      <c r="U739">
        <f t="shared" si="46"/>
        <v>1.9139139139139139</v>
      </c>
      <c r="V739">
        <f t="shared" si="47"/>
        <v>557.6865165165168</v>
      </c>
    </row>
    <row r="740" spans="1:22" x14ac:dyDescent="0.25">
      <c r="A740">
        <v>1230</v>
      </c>
      <c r="B740" s="1">
        <v>44624</v>
      </c>
      <c r="C740" t="s">
        <v>17</v>
      </c>
      <c r="D740" t="s">
        <v>18</v>
      </c>
      <c r="E740" t="s">
        <v>19</v>
      </c>
      <c r="F740" t="s">
        <v>20</v>
      </c>
      <c r="G740" t="s">
        <v>21</v>
      </c>
      <c r="H740" t="s">
        <v>67</v>
      </c>
      <c r="I740" t="s">
        <v>23</v>
      </c>
      <c r="J740" t="s">
        <v>24</v>
      </c>
      <c r="K740" t="s">
        <v>25</v>
      </c>
      <c r="L740">
        <v>5</v>
      </c>
      <c r="M740">
        <v>4</v>
      </c>
      <c r="N740">
        <v>4</v>
      </c>
      <c r="O740">
        <v>1</v>
      </c>
      <c r="P740">
        <v>635.71</v>
      </c>
      <c r="Q740">
        <v>48</v>
      </c>
      <c r="S740">
        <f t="shared" si="44"/>
        <v>557.6865165165168</v>
      </c>
      <c r="T740">
        <f t="shared" si="45"/>
        <v>153</v>
      </c>
      <c r="U740">
        <f t="shared" si="46"/>
        <v>1.9139139139139139</v>
      </c>
      <c r="V740">
        <f t="shared" si="47"/>
        <v>557.6865165165168</v>
      </c>
    </row>
    <row r="741" spans="1:22" x14ac:dyDescent="0.25">
      <c r="A741">
        <v>1231</v>
      </c>
      <c r="B741" s="1">
        <v>43897</v>
      </c>
      <c r="C741" t="s">
        <v>26</v>
      </c>
      <c r="D741" t="s">
        <v>18</v>
      </c>
      <c r="E741" t="s">
        <v>19</v>
      </c>
      <c r="F741" t="s">
        <v>33</v>
      </c>
      <c r="G741" t="s">
        <v>21</v>
      </c>
      <c r="H741" t="s">
        <v>69</v>
      </c>
      <c r="I741" t="s">
        <v>23</v>
      </c>
      <c r="J741" t="s">
        <v>24</v>
      </c>
      <c r="K741" t="s">
        <v>25</v>
      </c>
      <c r="L741">
        <v>2</v>
      </c>
      <c r="M741">
        <v>2</v>
      </c>
      <c r="N741">
        <v>1</v>
      </c>
      <c r="O741">
        <v>1</v>
      </c>
      <c r="P741">
        <v>896.8</v>
      </c>
      <c r="Q741">
        <v>26</v>
      </c>
      <c r="S741">
        <f t="shared" si="44"/>
        <v>557.6865165165168</v>
      </c>
      <c r="T741">
        <f t="shared" si="45"/>
        <v>153</v>
      </c>
      <c r="U741">
        <f t="shared" si="46"/>
        <v>1.9139139139139139</v>
      </c>
      <c r="V741">
        <f t="shared" si="47"/>
        <v>557.6865165165168</v>
      </c>
    </row>
    <row r="742" spans="1:22" x14ac:dyDescent="0.25">
      <c r="A742">
        <v>1232</v>
      </c>
      <c r="B742" s="1">
        <v>43909</v>
      </c>
      <c r="C742" t="s">
        <v>54</v>
      </c>
      <c r="D742" t="s">
        <v>18</v>
      </c>
      <c r="E742" t="s">
        <v>32</v>
      </c>
      <c r="F742" t="s">
        <v>33</v>
      </c>
      <c r="G742" t="s">
        <v>21</v>
      </c>
      <c r="H742" t="s">
        <v>70</v>
      </c>
      <c r="I742" t="s">
        <v>23</v>
      </c>
      <c r="J742" t="s">
        <v>24</v>
      </c>
      <c r="K742" t="s">
        <v>25</v>
      </c>
      <c r="L742">
        <v>2</v>
      </c>
      <c r="M742">
        <v>1</v>
      </c>
      <c r="N742">
        <v>5</v>
      </c>
      <c r="O742">
        <v>4</v>
      </c>
      <c r="P742">
        <v>857.61</v>
      </c>
      <c r="Q742">
        <v>73</v>
      </c>
      <c r="S742">
        <f t="shared" si="44"/>
        <v>557.6865165165168</v>
      </c>
      <c r="T742">
        <f t="shared" si="45"/>
        <v>153</v>
      </c>
      <c r="U742">
        <f t="shared" si="46"/>
        <v>1.9139139139139139</v>
      </c>
      <c r="V742">
        <f t="shared" si="47"/>
        <v>557.6865165165168</v>
      </c>
    </row>
    <row r="743" spans="1:22" x14ac:dyDescent="0.25">
      <c r="A743">
        <v>1233</v>
      </c>
      <c r="B743" s="1">
        <v>44765</v>
      </c>
      <c r="C743" t="s">
        <v>43</v>
      </c>
      <c r="D743" t="s">
        <v>18</v>
      </c>
      <c r="E743" t="s">
        <v>32</v>
      </c>
      <c r="F743" t="s">
        <v>27</v>
      </c>
      <c r="G743" t="s">
        <v>21</v>
      </c>
      <c r="H743" t="s">
        <v>67</v>
      </c>
      <c r="I743" t="s">
        <v>23</v>
      </c>
      <c r="J743" t="s">
        <v>30</v>
      </c>
      <c r="K743" t="s">
        <v>25</v>
      </c>
      <c r="L743">
        <v>5</v>
      </c>
      <c r="M743">
        <v>5</v>
      </c>
      <c r="N743">
        <v>3</v>
      </c>
      <c r="O743">
        <v>3</v>
      </c>
      <c r="P743">
        <v>460.59</v>
      </c>
      <c r="Q743">
        <v>30</v>
      </c>
      <c r="S743">
        <f t="shared" si="44"/>
        <v>557.6865165165168</v>
      </c>
      <c r="T743">
        <f t="shared" si="45"/>
        <v>153</v>
      </c>
      <c r="U743">
        <f t="shared" si="46"/>
        <v>1.9139139139139139</v>
      </c>
      <c r="V743">
        <f t="shared" si="47"/>
        <v>557.6865165165168</v>
      </c>
    </row>
    <row r="744" spans="1:22" x14ac:dyDescent="0.25">
      <c r="A744">
        <v>1234</v>
      </c>
      <c r="B744" s="1">
        <v>43756</v>
      </c>
      <c r="C744" t="s">
        <v>49</v>
      </c>
      <c r="D744" t="s">
        <v>84</v>
      </c>
      <c r="E744" t="s">
        <v>32</v>
      </c>
      <c r="F744" t="s">
        <v>27</v>
      </c>
      <c r="G744" t="s">
        <v>21</v>
      </c>
      <c r="H744" t="s">
        <v>77</v>
      </c>
      <c r="I744" t="s">
        <v>23</v>
      </c>
      <c r="J744" t="s">
        <v>24</v>
      </c>
      <c r="K744" t="s">
        <v>25</v>
      </c>
      <c r="L744">
        <v>4</v>
      </c>
      <c r="M744">
        <v>1</v>
      </c>
      <c r="N744">
        <v>5</v>
      </c>
      <c r="O744">
        <v>1</v>
      </c>
      <c r="P744">
        <v>504.82</v>
      </c>
      <c r="Q744">
        <v>72</v>
      </c>
      <c r="S744">
        <f t="shared" si="44"/>
        <v>557.6865165165168</v>
      </c>
      <c r="T744">
        <f t="shared" si="45"/>
        <v>153</v>
      </c>
      <c r="U744">
        <f t="shared" si="46"/>
        <v>1.9139139139139139</v>
      </c>
      <c r="V744">
        <f t="shared" si="47"/>
        <v>557.6865165165168</v>
      </c>
    </row>
    <row r="745" spans="1:22" x14ac:dyDescent="0.25">
      <c r="A745">
        <v>1235</v>
      </c>
      <c r="B745" s="1">
        <v>43935</v>
      </c>
      <c r="C745" t="s">
        <v>31</v>
      </c>
      <c r="D745" t="s">
        <v>18</v>
      </c>
      <c r="E745" t="s">
        <v>32</v>
      </c>
      <c r="F745" t="s">
        <v>33</v>
      </c>
      <c r="G745" t="s">
        <v>21</v>
      </c>
      <c r="H745" t="s">
        <v>38</v>
      </c>
      <c r="I745" t="s">
        <v>23</v>
      </c>
      <c r="J745" t="s">
        <v>24</v>
      </c>
      <c r="K745" t="s">
        <v>25</v>
      </c>
      <c r="L745">
        <v>5</v>
      </c>
      <c r="M745">
        <v>5</v>
      </c>
      <c r="N745">
        <v>3</v>
      </c>
      <c r="O745">
        <v>3</v>
      </c>
      <c r="P745">
        <v>737.91</v>
      </c>
      <c r="Q745">
        <v>22</v>
      </c>
      <c r="S745">
        <f t="shared" si="44"/>
        <v>557.6865165165168</v>
      </c>
      <c r="T745">
        <f t="shared" si="45"/>
        <v>153</v>
      </c>
      <c r="U745">
        <f t="shared" si="46"/>
        <v>1.9139139139139139</v>
      </c>
      <c r="V745">
        <f t="shared" si="47"/>
        <v>557.6865165165168</v>
      </c>
    </row>
    <row r="746" spans="1:22" x14ac:dyDescent="0.25">
      <c r="A746">
        <v>1236</v>
      </c>
      <c r="B746" s="1">
        <v>43429</v>
      </c>
      <c r="C746" t="s">
        <v>40</v>
      </c>
      <c r="D746" t="s">
        <v>84</v>
      </c>
      <c r="E746" t="s">
        <v>28</v>
      </c>
      <c r="F746" t="s">
        <v>33</v>
      </c>
      <c r="G746" t="s">
        <v>21</v>
      </c>
      <c r="H746" t="s">
        <v>41</v>
      </c>
      <c r="I746" t="s">
        <v>23</v>
      </c>
      <c r="J746" t="s">
        <v>24</v>
      </c>
      <c r="K746" t="s">
        <v>25</v>
      </c>
      <c r="L746">
        <v>1</v>
      </c>
      <c r="M746">
        <v>4</v>
      </c>
      <c r="N746">
        <v>1</v>
      </c>
      <c r="O746">
        <v>2</v>
      </c>
      <c r="P746">
        <v>244.25</v>
      </c>
      <c r="Q746">
        <v>72</v>
      </c>
      <c r="S746">
        <f t="shared" si="44"/>
        <v>557.6865165165168</v>
      </c>
      <c r="T746">
        <f t="shared" si="45"/>
        <v>153</v>
      </c>
      <c r="U746">
        <f t="shared" si="46"/>
        <v>1.9139139139139139</v>
      </c>
      <c r="V746">
        <f t="shared" si="47"/>
        <v>557.6865165165168</v>
      </c>
    </row>
    <row r="747" spans="1:22" x14ac:dyDescent="0.25">
      <c r="A747">
        <v>1237</v>
      </c>
      <c r="B747" s="1">
        <v>44278</v>
      </c>
      <c r="C747" t="s">
        <v>17</v>
      </c>
      <c r="D747" t="s">
        <v>84</v>
      </c>
      <c r="E747" t="s">
        <v>28</v>
      </c>
      <c r="F747" t="s">
        <v>27</v>
      </c>
      <c r="G747" t="s">
        <v>21</v>
      </c>
      <c r="H747" t="s">
        <v>71</v>
      </c>
      <c r="I747" t="s">
        <v>23</v>
      </c>
      <c r="J747" t="s">
        <v>24</v>
      </c>
      <c r="K747" t="s">
        <v>25</v>
      </c>
      <c r="L747">
        <v>4</v>
      </c>
      <c r="M747">
        <v>3</v>
      </c>
      <c r="N747">
        <v>1</v>
      </c>
      <c r="O747">
        <v>2</v>
      </c>
      <c r="P747">
        <v>762.82</v>
      </c>
      <c r="Q747">
        <v>46</v>
      </c>
      <c r="S747">
        <f t="shared" si="44"/>
        <v>557.6865165165168</v>
      </c>
      <c r="T747">
        <f t="shared" si="45"/>
        <v>153</v>
      </c>
      <c r="U747">
        <f t="shared" si="46"/>
        <v>1.9139139139139139</v>
      </c>
      <c r="V747">
        <f t="shared" si="47"/>
        <v>557.6865165165168</v>
      </c>
    </row>
    <row r="748" spans="1:22" x14ac:dyDescent="0.25">
      <c r="A748">
        <v>1238</v>
      </c>
      <c r="B748" s="1">
        <v>44131</v>
      </c>
      <c r="C748" t="s">
        <v>52</v>
      </c>
      <c r="D748" t="s">
        <v>84</v>
      </c>
      <c r="E748" t="s">
        <v>28</v>
      </c>
      <c r="F748" t="s">
        <v>33</v>
      </c>
      <c r="G748" t="s">
        <v>21</v>
      </c>
      <c r="H748" t="s">
        <v>47</v>
      </c>
      <c r="I748" t="s">
        <v>23</v>
      </c>
      <c r="J748" t="s">
        <v>24</v>
      </c>
      <c r="K748" t="s">
        <v>25</v>
      </c>
      <c r="L748">
        <v>1</v>
      </c>
      <c r="M748">
        <v>3</v>
      </c>
      <c r="N748">
        <v>3</v>
      </c>
      <c r="O748">
        <v>2</v>
      </c>
      <c r="P748">
        <v>640.14</v>
      </c>
      <c r="Q748">
        <v>52</v>
      </c>
      <c r="S748">
        <f t="shared" si="44"/>
        <v>557.6865165165168</v>
      </c>
      <c r="T748">
        <f t="shared" si="45"/>
        <v>153</v>
      </c>
      <c r="U748">
        <f t="shared" si="46"/>
        <v>1.9139139139139139</v>
      </c>
      <c r="V748">
        <f t="shared" si="47"/>
        <v>557.6865165165168</v>
      </c>
    </row>
    <row r="749" spans="1:22" x14ac:dyDescent="0.25">
      <c r="A749">
        <v>1239</v>
      </c>
      <c r="B749" s="1">
        <v>44723</v>
      </c>
      <c r="C749" t="s">
        <v>37</v>
      </c>
      <c r="D749" t="s">
        <v>84</v>
      </c>
      <c r="E749" t="s">
        <v>28</v>
      </c>
      <c r="F749" t="s">
        <v>20</v>
      </c>
      <c r="G749" t="s">
        <v>21</v>
      </c>
      <c r="H749" t="s">
        <v>56</v>
      </c>
      <c r="I749" t="s">
        <v>23</v>
      </c>
      <c r="J749" t="s">
        <v>24</v>
      </c>
      <c r="K749" t="s">
        <v>25</v>
      </c>
      <c r="L749">
        <v>4</v>
      </c>
      <c r="M749">
        <v>5</v>
      </c>
      <c r="N749">
        <v>5</v>
      </c>
      <c r="O749">
        <v>3</v>
      </c>
      <c r="P749">
        <v>726.03</v>
      </c>
      <c r="Q749">
        <v>21</v>
      </c>
      <c r="S749">
        <f t="shared" si="44"/>
        <v>557.6865165165168</v>
      </c>
      <c r="T749">
        <f t="shared" si="45"/>
        <v>153</v>
      </c>
      <c r="U749">
        <f t="shared" si="46"/>
        <v>1.9139139139139139</v>
      </c>
      <c r="V749">
        <f t="shared" si="47"/>
        <v>557.6865165165168</v>
      </c>
    </row>
    <row r="750" spans="1:22" x14ac:dyDescent="0.25">
      <c r="A750">
        <v>1240</v>
      </c>
      <c r="B750" s="1">
        <v>43909</v>
      </c>
      <c r="C750" t="s">
        <v>60</v>
      </c>
      <c r="D750" t="s">
        <v>18</v>
      </c>
      <c r="E750" t="s">
        <v>19</v>
      </c>
      <c r="F750" t="s">
        <v>33</v>
      </c>
      <c r="G750" t="s">
        <v>21</v>
      </c>
      <c r="H750" t="s">
        <v>80</v>
      </c>
      <c r="I750" t="s">
        <v>23</v>
      </c>
      <c r="J750" t="s">
        <v>24</v>
      </c>
      <c r="K750" t="s">
        <v>25</v>
      </c>
      <c r="L750">
        <v>1</v>
      </c>
      <c r="M750">
        <v>4</v>
      </c>
      <c r="N750">
        <v>3</v>
      </c>
      <c r="O750">
        <v>5</v>
      </c>
      <c r="P750">
        <v>758.75</v>
      </c>
      <c r="Q750">
        <v>35</v>
      </c>
      <c r="S750">
        <f t="shared" si="44"/>
        <v>557.6865165165168</v>
      </c>
      <c r="T750">
        <f t="shared" si="45"/>
        <v>153</v>
      </c>
      <c r="U750">
        <f t="shared" si="46"/>
        <v>1.9139139139139139</v>
      </c>
      <c r="V750">
        <f t="shared" si="47"/>
        <v>557.6865165165168</v>
      </c>
    </row>
    <row r="751" spans="1:22" x14ac:dyDescent="0.25">
      <c r="A751">
        <v>1241</v>
      </c>
      <c r="B751" s="1">
        <v>43776</v>
      </c>
      <c r="C751" t="s">
        <v>43</v>
      </c>
      <c r="D751" t="s">
        <v>84</v>
      </c>
      <c r="E751" t="s">
        <v>19</v>
      </c>
      <c r="F751" t="s">
        <v>33</v>
      </c>
      <c r="G751" t="s">
        <v>21</v>
      </c>
      <c r="H751" t="s">
        <v>41</v>
      </c>
      <c r="I751" t="s">
        <v>23</v>
      </c>
      <c r="J751" t="s">
        <v>24</v>
      </c>
      <c r="K751" t="s">
        <v>25</v>
      </c>
      <c r="L751">
        <v>4</v>
      </c>
      <c r="M751">
        <v>4</v>
      </c>
      <c r="N751">
        <v>3</v>
      </c>
      <c r="O751">
        <v>5</v>
      </c>
      <c r="P751">
        <v>878.94</v>
      </c>
      <c r="Q751">
        <v>27</v>
      </c>
      <c r="S751">
        <f t="shared" si="44"/>
        <v>557.6865165165168</v>
      </c>
      <c r="T751">
        <f t="shared" si="45"/>
        <v>153</v>
      </c>
      <c r="U751">
        <f t="shared" si="46"/>
        <v>1.9139139139139139</v>
      </c>
      <c r="V751">
        <f t="shared" si="47"/>
        <v>557.6865165165168</v>
      </c>
    </row>
    <row r="752" spans="1:22" x14ac:dyDescent="0.25">
      <c r="A752">
        <v>1242</v>
      </c>
      <c r="B752" s="1">
        <v>45040</v>
      </c>
      <c r="C752" t="s">
        <v>49</v>
      </c>
      <c r="D752" t="s">
        <v>18</v>
      </c>
      <c r="E752" t="s">
        <v>32</v>
      </c>
      <c r="F752" t="s">
        <v>20</v>
      </c>
      <c r="G752" t="s">
        <v>21</v>
      </c>
      <c r="H752" t="s">
        <v>67</v>
      </c>
      <c r="I752" t="s">
        <v>23</v>
      </c>
      <c r="J752" t="s">
        <v>24</v>
      </c>
      <c r="K752" t="s">
        <v>25</v>
      </c>
      <c r="L752">
        <v>4</v>
      </c>
      <c r="M752">
        <v>4</v>
      </c>
      <c r="N752">
        <v>1</v>
      </c>
      <c r="O752">
        <v>3</v>
      </c>
      <c r="P752">
        <v>227.9</v>
      </c>
      <c r="Q752">
        <v>64</v>
      </c>
      <c r="S752">
        <f t="shared" si="44"/>
        <v>557.6865165165168</v>
      </c>
      <c r="T752">
        <f t="shared" si="45"/>
        <v>153</v>
      </c>
      <c r="U752">
        <f t="shared" si="46"/>
        <v>1.9139139139139139</v>
      </c>
      <c r="V752">
        <f t="shared" si="47"/>
        <v>557.6865165165168</v>
      </c>
    </row>
    <row r="753" spans="1:22" x14ac:dyDescent="0.25">
      <c r="A753">
        <v>1243</v>
      </c>
      <c r="B753" s="1">
        <v>43986</v>
      </c>
      <c r="C753" t="s">
        <v>31</v>
      </c>
      <c r="D753" t="s">
        <v>18</v>
      </c>
      <c r="E753" t="s">
        <v>19</v>
      </c>
      <c r="F753" t="s">
        <v>27</v>
      </c>
      <c r="G753" t="s">
        <v>21</v>
      </c>
      <c r="H753" t="s">
        <v>38</v>
      </c>
      <c r="I753" t="s">
        <v>23</v>
      </c>
      <c r="J753" t="s">
        <v>24</v>
      </c>
      <c r="K753" t="s">
        <v>25</v>
      </c>
      <c r="L753">
        <v>5</v>
      </c>
      <c r="M753">
        <v>2</v>
      </c>
      <c r="N753">
        <v>3</v>
      </c>
      <c r="O753">
        <v>3</v>
      </c>
      <c r="P753">
        <v>855.27</v>
      </c>
      <c r="Q753">
        <v>41</v>
      </c>
      <c r="S753">
        <f t="shared" si="44"/>
        <v>557.6865165165168</v>
      </c>
      <c r="T753">
        <f t="shared" si="45"/>
        <v>153</v>
      </c>
      <c r="U753">
        <f t="shared" si="46"/>
        <v>1.9139139139139139</v>
      </c>
      <c r="V753">
        <f t="shared" si="47"/>
        <v>557.6865165165168</v>
      </c>
    </row>
    <row r="754" spans="1:22" x14ac:dyDescent="0.25">
      <c r="A754">
        <v>1244</v>
      </c>
      <c r="B754" s="1">
        <v>44704</v>
      </c>
      <c r="C754" t="s">
        <v>40</v>
      </c>
      <c r="D754" t="s">
        <v>18</v>
      </c>
      <c r="E754" t="s">
        <v>28</v>
      </c>
      <c r="F754" t="s">
        <v>27</v>
      </c>
      <c r="G754" t="s">
        <v>21</v>
      </c>
      <c r="H754" t="s">
        <v>80</v>
      </c>
      <c r="I754" t="s">
        <v>23</v>
      </c>
      <c r="J754" t="s">
        <v>30</v>
      </c>
      <c r="K754" t="s">
        <v>25</v>
      </c>
      <c r="L754">
        <v>2</v>
      </c>
      <c r="M754">
        <v>3</v>
      </c>
      <c r="N754">
        <v>5</v>
      </c>
      <c r="O754">
        <v>5</v>
      </c>
      <c r="P754">
        <v>170.62</v>
      </c>
      <c r="Q754">
        <v>68</v>
      </c>
      <c r="S754">
        <f t="shared" si="44"/>
        <v>557.6865165165168</v>
      </c>
      <c r="T754">
        <f t="shared" si="45"/>
        <v>153</v>
      </c>
      <c r="U754">
        <f t="shared" si="46"/>
        <v>1.9139139139139139</v>
      </c>
      <c r="V754">
        <f t="shared" si="47"/>
        <v>557.6865165165168</v>
      </c>
    </row>
    <row r="755" spans="1:22" x14ac:dyDescent="0.25">
      <c r="A755">
        <v>1245</v>
      </c>
      <c r="B755" s="1">
        <v>43602</v>
      </c>
      <c r="C755" t="s">
        <v>17</v>
      </c>
      <c r="D755" t="s">
        <v>18</v>
      </c>
      <c r="E755" t="s">
        <v>32</v>
      </c>
      <c r="F755" t="s">
        <v>33</v>
      </c>
      <c r="G755" t="s">
        <v>21</v>
      </c>
      <c r="H755" t="s">
        <v>47</v>
      </c>
      <c r="I755" t="s">
        <v>23</v>
      </c>
      <c r="J755" t="s">
        <v>30</v>
      </c>
      <c r="K755" t="s">
        <v>25</v>
      </c>
      <c r="L755">
        <v>3</v>
      </c>
      <c r="M755">
        <v>5</v>
      </c>
      <c r="N755">
        <v>5</v>
      </c>
      <c r="O755">
        <v>4</v>
      </c>
      <c r="P755">
        <v>392.14</v>
      </c>
      <c r="Q755">
        <v>58</v>
      </c>
      <c r="S755">
        <f t="shared" si="44"/>
        <v>557.6865165165168</v>
      </c>
      <c r="T755">
        <f t="shared" si="45"/>
        <v>153</v>
      </c>
      <c r="U755">
        <f t="shared" si="46"/>
        <v>1.9139139139139139</v>
      </c>
      <c r="V755">
        <f t="shared" si="47"/>
        <v>557.6865165165168</v>
      </c>
    </row>
    <row r="756" spans="1:22" x14ac:dyDescent="0.25">
      <c r="A756">
        <v>1246</v>
      </c>
      <c r="B756" s="1">
        <v>43371</v>
      </c>
      <c r="C756" t="s">
        <v>52</v>
      </c>
      <c r="D756" t="s">
        <v>84</v>
      </c>
      <c r="E756" t="s">
        <v>28</v>
      </c>
      <c r="F756" t="s">
        <v>33</v>
      </c>
      <c r="G756" t="s">
        <v>21</v>
      </c>
      <c r="H756" t="s">
        <v>41</v>
      </c>
      <c r="I756" t="s">
        <v>23</v>
      </c>
      <c r="J756" t="s">
        <v>30</v>
      </c>
      <c r="K756" t="s">
        <v>25</v>
      </c>
      <c r="L756">
        <v>4</v>
      </c>
      <c r="M756">
        <v>3</v>
      </c>
      <c r="N756">
        <v>2</v>
      </c>
      <c r="O756">
        <v>1</v>
      </c>
      <c r="P756">
        <v>206.93</v>
      </c>
      <c r="Q756">
        <v>75</v>
      </c>
      <c r="S756">
        <f t="shared" si="44"/>
        <v>557.6865165165168</v>
      </c>
      <c r="T756">
        <f t="shared" si="45"/>
        <v>153</v>
      </c>
      <c r="U756">
        <f t="shared" si="46"/>
        <v>1.9139139139139139</v>
      </c>
      <c r="V756">
        <f t="shared" si="47"/>
        <v>557.6865165165168</v>
      </c>
    </row>
    <row r="757" spans="1:22" x14ac:dyDescent="0.25">
      <c r="A757">
        <v>1247</v>
      </c>
      <c r="B757" s="1">
        <v>43528</v>
      </c>
      <c r="C757" t="s">
        <v>26</v>
      </c>
      <c r="D757" t="s">
        <v>18</v>
      </c>
      <c r="E757" t="s">
        <v>28</v>
      </c>
      <c r="F757" t="s">
        <v>20</v>
      </c>
      <c r="G757" t="s">
        <v>21</v>
      </c>
      <c r="H757" t="s">
        <v>69</v>
      </c>
      <c r="I757" t="s">
        <v>23</v>
      </c>
      <c r="J757" t="s">
        <v>24</v>
      </c>
      <c r="K757" t="s">
        <v>25</v>
      </c>
      <c r="L757">
        <v>2</v>
      </c>
      <c r="M757">
        <v>4</v>
      </c>
      <c r="N757">
        <v>5</v>
      </c>
      <c r="O757">
        <v>5</v>
      </c>
      <c r="P757">
        <v>307.13</v>
      </c>
      <c r="Q757">
        <v>47</v>
      </c>
      <c r="S757">
        <f t="shared" si="44"/>
        <v>557.6865165165168</v>
      </c>
      <c r="T757">
        <f t="shared" si="45"/>
        <v>153</v>
      </c>
      <c r="U757">
        <f t="shared" si="46"/>
        <v>1.9139139139139139</v>
      </c>
      <c r="V757">
        <f t="shared" si="47"/>
        <v>557.6865165165168</v>
      </c>
    </row>
    <row r="758" spans="1:22" x14ac:dyDescent="0.25">
      <c r="A758">
        <v>1248</v>
      </c>
      <c r="B758" s="1">
        <v>44284</v>
      </c>
      <c r="C758" t="s">
        <v>54</v>
      </c>
      <c r="D758" t="s">
        <v>18</v>
      </c>
      <c r="E758" t="s">
        <v>28</v>
      </c>
      <c r="F758" t="s">
        <v>33</v>
      </c>
      <c r="G758" t="s">
        <v>21</v>
      </c>
      <c r="H758" t="s">
        <v>75</v>
      </c>
      <c r="I758" t="s">
        <v>23</v>
      </c>
      <c r="J758" t="s">
        <v>24</v>
      </c>
      <c r="K758" t="s">
        <v>25</v>
      </c>
      <c r="L758">
        <v>5</v>
      </c>
      <c r="M758">
        <v>3</v>
      </c>
      <c r="N758">
        <v>2</v>
      </c>
      <c r="O758">
        <v>4</v>
      </c>
      <c r="P758">
        <v>165.05</v>
      </c>
      <c r="Q758">
        <v>33</v>
      </c>
      <c r="S758">
        <f t="shared" si="44"/>
        <v>557.6865165165168</v>
      </c>
      <c r="T758">
        <f t="shared" si="45"/>
        <v>153</v>
      </c>
      <c r="U758">
        <f t="shared" si="46"/>
        <v>1.9139139139139139</v>
      </c>
      <c r="V758">
        <f t="shared" si="47"/>
        <v>557.6865165165168</v>
      </c>
    </row>
    <row r="759" spans="1:22" x14ac:dyDescent="0.25">
      <c r="A759">
        <v>1249</v>
      </c>
      <c r="B759" s="1">
        <v>43653</v>
      </c>
      <c r="C759" t="s">
        <v>37</v>
      </c>
      <c r="D759" t="s">
        <v>18</v>
      </c>
      <c r="E759" t="s">
        <v>32</v>
      </c>
      <c r="F759" t="s">
        <v>27</v>
      </c>
      <c r="G759" t="s">
        <v>21</v>
      </c>
      <c r="H759" t="s">
        <v>41</v>
      </c>
      <c r="I759" t="s">
        <v>23</v>
      </c>
      <c r="J759" t="s">
        <v>24</v>
      </c>
      <c r="K759" t="s">
        <v>25</v>
      </c>
      <c r="L759">
        <v>2</v>
      </c>
      <c r="M759">
        <v>4</v>
      </c>
      <c r="N759">
        <v>2</v>
      </c>
      <c r="O759">
        <v>4</v>
      </c>
      <c r="P759">
        <v>371.27</v>
      </c>
      <c r="Q759">
        <v>23</v>
      </c>
      <c r="S759">
        <f t="shared" si="44"/>
        <v>557.6865165165168</v>
      </c>
      <c r="T759">
        <f t="shared" si="45"/>
        <v>153</v>
      </c>
      <c r="U759">
        <f t="shared" si="46"/>
        <v>1.9139139139139139</v>
      </c>
      <c r="V759">
        <f t="shared" si="47"/>
        <v>557.6865165165168</v>
      </c>
    </row>
    <row r="760" spans="1:22" x14ac:dyDescent="0.25">
      <c r="A760">
        <v>1250</v>
      </c>
      <c r="B760" s="1">
        <v>43349</v>
      </c>
      <c r="C760" t="s">
        <v>40</v>
      </c>
      <c r="D760" t="s">
        <v>18</v>
      </c>
      <c r="E760" t="s">
        <v>19</v>
      </c>
      <c r="F760" t="s">
        <v>33</v>
      </c>
      <c r="G760" t="s">
        <v>21</v>
      </c>
      <c r="H760" t="s">
        <v>35</v>
      </c>
      <c r="I760" t="s">
        <v>23</v>
      </c>
      <c r="J760" t="s">
        <v>24</v>
      </c>
      <c r="K760" t="s">
        <v>25</v>
      </c>
      <c r="L760">
        <v>4</v>
      </c>
      <c r="M760">
        <v>5</v>
      </c>
      <c r="N760">
        <v>1</v>
      </c>
      <c r="O760">
        <v>3</v>
      </c>
      <c r="P760">
        <v>366.78</v>
      </c>
      <c r="Q760">
        <v>28</v>
      </c>
      <c r="S760">
        <f t="shared" si="44"/>
        <v>557.6865165165168</v>
      </c>
      <c r="T760">
        <f t="shared" si="45"/>
        <v>153</v>
      </c>
      <c r="U760">
        <f t="shared" si="46"/>
        <v>1.9139139139139139</v>
      </c>
      <c r="V760">
        <f t="shared" si="47"/>
        <v>557.6865165165168</v>
      </c>
    </row>
    <row r="761" spans="1:22" x14ac:dyDescent="0.25">
      <c r="A761">
        <v>1251</v>
      </c>
      <c r="B761" s="1">
        <v>43368</v>
      </c>
      <c r="C761" t="s">
        <v>17</v>
      </c>
      <c r="D761" t="s">
        <v>18</v>
      </c>
      <c r="E761" t="s">
        <v>28</v>
      </c>
      <c r="F761" t="s">
        <v>27</v>
      </c>
      <c r="G761" t="s">
        <v>21</v>
      </c>
      <c r="H761" t="s">
        <v>56</v>
      </c>
      <c r="I761" t="s">
        <v>23</v>
      </c>
      <c r="J761" t="s">
        <v>24</v>
      </c>
      <c r="K761" t="s">
        <v>25</v>
      </c>
      <c r="L761">
        <v>5</v>
      </c>
      <c r="M761">
        <v>5</v>
      </c>
      <c r="N761">
        <v>3</v>
      </c>
      <c r="O761">
        <v>5</v>
      </c>
      <c r="P761">
        <v>205.92</v>
      </c>
      <c r="Q761">
        <v>70</v>
      </c>
      <c r="S761">
        <f t="shared" si="44"/>
        <v>557.6865165165168</v>
      </c>
      <c r="T761">
        <f t="shared" si="45"/>
        <v>153</v>
      </c>
      <c r="U761">
        <f t="shared" si="46"/>
        <v>1.9139139139139139</v>
      </c>
      <c r="V761">
        <f t="shared" si="47"/>
        <v>557.6865165165168</v>
      </c>
    </row>
    <row r="762" spans="1:22" x14ac:dyDescent="0.25">
      <c r="A762">
        <v>1252</v>
      </c>
      <c r="B762" s="1">
        <v>44631</v>
      </c>
      <c r="C762" t="s">
        <v>26</v>
      </c>
      <c r="D762" t="s">
        <v>18</v>
      </c>
      <c r="E762" t="s">
        <v>28</v>
      </c>
      <c r="F762" t="s">
        <v>27</v>
      </c>
      <c r="G762" t="s">
        <v>21</v>
      </c>
      <c r="H762" t="s">
        <v>62</v>
      </c>
      <c r="I762" t="s">
        <v>23</v>
      </c>
      <c r="J762" t="s">
        <v>24</v>
      </c>
      <c r="K762" t="s">
        <v>25</v>
      </c>
      <c r="L762">
        <v>2</v>
      </c>
      <c r="M762">
        <v>3</v>
      </c>
      <c r="N762">
        <v>2</v>
      </c>
      <c r="O762">
        <v>1</v>
      </c>
      <c r="P762">
        <v>314.51</v>
      </c>
      <c r="Q762">
        <v>40</v>
      </c>
      <c r="S762">
        <f t="shared" si="44"/>
        <v>557.6865165165168</v>
      </c>
      <c r="T762">
        <f t="shared" si="45"/>
        <v>153</v>
      </c>
      <c r="U762">
        <f t="shared" si="46"/>
        <v>1.9139139139139139</v>
      </c>
      <c r="V762">
        <f t="shared" si="47"/>
        <v>557.6865165165168</v>
      </c>
    </row>
    <row r="763" spans="1:22" x14ac:dyDescent="0.25">
      <c r="A763">
        <v>1253</v>
      </c>
      <c r="B763" s="1">
        <v>44025</v>
      </c>
      <c r="C763" t="s">
        <v>54</v>
      </c>
      <c r="D763" t="s">
        <v>18</v>
      </c>
      <c r="E763" t="s">
        <v>28</v>
      </c>
      <c r="F763" t="s">
        <v>27</v>
      </c>
      <c r="G763" t="s">
        <v>21</v>
      </c>
      <c r="H763" t="s">
        <v>62</v>
      </c>
      <c r="I763" t="s">
        <v>23</v>
      </c>
      <c r="J763" t="s">
        <v>24</v>
      </c>
      <c r="K763" t="s">
        <v>25</v>
      </c>
      <c r="L763">
        <v>2</v>
      </c>
      <c r="M763">
        <v>4</v>
      </c>
      <c r="N763">
        <v>2</v>
      </c>
      <c r="O763">
        <v>2</v>
      </c>
      <c r="P763">
        <v>793.86</v>
      </c>
      <c r="Q763">
        <v>49</v>
      </c>
      <c r="S763">
        <f t="shared" si="44"/>
        <v>557.6865165165168</v>
      </c>
      <c r="T763">
        <f t="shared" si="45"/>
        <v>153</v>
      </c>
      <c r="U763">
        <f t="shared" si="46"/>
        <v>1.9139139139139139</v>
      </c>
      <c r="V763">
        <f t="shared" si="47"/>
        <v>557.6865165165168</v>
      </c>
    </row>
    <row r="764" spans="1:22" x14ac:dyDescent="0.25">
      <c r="A764">
        <v>1254</v>
      </c>
      <c r="B764" s="1">
        <v>44004</v>
      </c>
      <c r="C764" t="s">
        <v>43</v>
      </c>
      <c r="D764" t="s">
        <v>18</v>
      </c>
      <c r="E764" t="s">
        <v>19</v>
      </c>
      <c r="F764" t="s">
        <v>33</v>
      </c>
      <c r="G764" t="s">
        <v>21</v>
      </c>
      <c r="H764" t="s">
        <v>38</v>
      </c>
      <c r="I764" t="s">
        <v>23</v>
      </c>
      <c r="J764" t="s">
        <v>24</v>
      </c>
      <c r="K764" t="s">
        <v>25</v>
      </c>
      <c r="L764">
        <v>3</v>
      </c>
      <c r="M764">
        <v>1</v>
      </c>
      <c r="N764">
        <v>5</v>
      </c>
      <c r="O764">
        <v>3</v>
      </c>
      <c r="P764">
        <v>252.53</v>
      </c>
      <c r="Q764">
        <v>70</v>
      </c>
      <c r="S764">
        <f t="shared" si="44"/>
        <v>557.6865165165168</v>
      </c>
      <c r="T764">
        <f t="shared" si="45"/>
        <v>153</v>
      </c>
      <c r="U764">
        <f t="shared" si="46"/>
        <v>1.9139139139139139</v>
      </c>
      <c r="V764">
        <f t="shared" si="47"/>
        <v>557.6865165165168</v>
      </c>
    </row>
    <row r="765" spans="1:22" x14ac:dyDescent="0.25">
      <c r="A765">
        <v>1255</v>
      </c>
      <c r="B765" s="1">
        <v>43738</v>
      </c>
      <c r="C765" t="s">
        <v>49</v>
      </c>
      <c r="D765" t="s">
        <v>84</v>
      </c>
      <c r="E765" t="s">
        <v>32</v>
      </c>
      <c r="F765" t="s">
        <v>27</v>
      </c>
      <c r="G765" t="s">
        <v>21</v>
      </c>
      <c r="H765" t="s">
        <v>38</v>
      </c>
      <c r="I765" t="s">
        <v>23</v>
      </c>
      <c r="J765" t="s">
        <v>24</v>
      </c>
      <c r="K765" t="s">
        <v>25</v>
      </c>
      <c r="L765">
        <v>3</v>
      </c>
      <c r="M765">
        <v>1</v>
      </c>
      <c r="N765">
        <v>1</v>
      </c>
      <c r="O765">
        <v>2</v>
      </c>
      <c r="P765">
        <v>693.25</v>
      </c>
      <c r="Q765">
        <v>35</v>
      </c>
      <c r="S765">
        <f t="shared" si="44"/>
        <v>557.6865165165168</v>
      </c>
      <c r="T765">
        <f t="shared" si="45"/>
        <v>153</v>
      </c>
      <c r="U765">
        <f t="shared" si="46"/>
        <v>1.9139139139139139</v>
      </c>
      <c r="V765">
        <f t="shared" si="47"/>
        <v>557.6865165165168</v>
      </c>
    </row>
    <row r="766" spans="1:22" x14ac:dyDescent="0.25">
      <c r="A766">
        <v>1256</v>
      </c>
      <c r="B766" s="1">
        <v>43838</v>
      </c>
      <c r="C766" t="s">
        <v>31</v>
      </c>
      <c r="D766" t="s">
        <v>18</v>
      </c>
      <c r="E766" t="s">
        <v>19</v>
      </c>
      <c r="F766" t="s">
        <v>27</v>
      </c>
      <c r="G766" t="s">
        <v>21</v>
      </c>
      <c r="H766" t="s">
        <v>67</v>
      </c>
      <c r="I766" t="s">
        <v>23</v>
      </c>
      <c r="J766" t="s">
        <v>24</v>
      </c>
      <c r="K766" t="s">
        <v>25</v>
      </c>
      <c r="L766">
        <v>4</v>
      </c>
      <c r="M766">
        <v>4</v>
      </c>
      <c r="N766">
        <v>2</v>
      </c>
      <c r="O766">
        <v>4</v>
      </c>
      <c r="P766">
        <v>926.76</v>
      </c>
      <c r="Q766">
        <v>29</v>
      </c>
      <c r="S766">
        <f t="shared" si="44"/>
        <v>557.6865165165168</v>
      </c>
      <c r="T766">
        <f t="shared" si="45"/>
        <v>153</v>
      </c>
      <c r="U766">
        <f t="shared" si="46"/>
        <v>1.9139139139139139</v>
      </c>
      <c r="V766">
        <f t="shared" si="47"/>
        <v>557.6865165165168</v>
      </c>
    </row>
    <row r="767" spans="1:22" x14ac:dyDescent="0.25">
      <c r="A767">
        <v>1257</v>
      </c>
      <c r="B767" s="1">
        <v>44485</v>
      </c>
      <c r="C767" t="s">
        <v>40</v>
      </c>
      <c r="D767" t="s">
        <v>18</v>
      </c>
      <c r="E767" t="s">
        <v>32</v>
      </c>
      <c r="F767" t="s">
        <v>33</v>
      </c>
      <c r="G767" t="s">
        <v>21</v>
      </c>
      <c r="H767" t="s">
        <v>47</v>
      </c>
      <c r="I767" t="s">
        <v>23</v>
      </c>
      <c r="J767" t="s">
        <v>24</v>
      </c>
      <c r="K767" t="s">
        <v>25</v>
      </c>
      <c r="L767">
        <v>2</v>
      </c>
      <c r="M767">
        <v>1</v>
      </c>
      <c r="N767">
        <v>1</v>
      </c>
      <c r="O767">
        <v>1</v>
      </c>
      <c r="P767">
        <v>694.61</v>
      </c>
      <c r="Q767">
        <v>43</v>
      </c>
      <c r="S767">
        <f t="shared" si="44"/>
        <v>557.6865165165168</v>
      </c>
      <c r="T767">
        <f t="shared" si="45"/>
        <v>153</v>
      </c>
      <c r="U767">
        <f t="shared" si="46"/>
        <v>1.9139139139139139</v>
      </c>
      <c r="V767">
        <f t="shared" si="47"/>
        <v>557.6865165165168</v>
      </c>
    </row>
    <row r="768" spans="1:22" x14ac:dyDescent="0.25">
      <c r="A768">
        <v>1258</v>
      </c>
      <c r="B768" s="1">
        <v>44741</v>
      </c>
      <c r="C768" t="s">
        <v>17</v>
      </c>
      <c r="D768" t="s">
        <v>18</v>
      </c>
      <c r="E768" t="s">
        <v>32</v>
      </c>
      <c r="F768" t="s">
        <v>20</v>
      </c>
      <c r="G768" t="s">
        <v>21</v>
      </c>
      <c r="H768" t="s">
        <v>29</v>
      </c>
      <c r="I768" t="s">
        <v>23</v>
      </c>
      <c r="J768" t="s">
        <v>24</v>
      </c>
      <c r="K768" t="s">
        <v>25</v>
      </c>
      <c r="L768">
        <v>3</v>
      </c>
      <c r="M768">
        <v>5</v>
      </c>
      <c r="N768">
        <v>4</v>
      </c>
      <c r="O768">
        <v>1</v>
      </c>
      <c r="P768">
        <v>732.02</v>
      </c>
      <c r="Q768">
        <v>45</v>
      </c>
      <c r="S768">
        <f t="shared" si="44"/>
        <v>557.6865165165168</v>
      </c>
      <c r="T768">
        <f t="shared" si="45"/>
        <v>153</v>
      </c>
      <c r="U768">
        <f t="shared" si="46"/>
        <v>1.9139139139139139</v>
      </c>
      <c r="V768">
        <f t="shared" si="47"/>
        <v>557.6865165165168</v>
      </c>
    </row>
    <row r="769" spans="1:22" x14ac:dyDescent="0.25">
      <c r="A769">
        <v>1259</v>
      </c>
      <c r="B769" s="1">
        <v>44682</v>
      </c>
      <c r="C769" t="s">
        <v>52</v>
      </c>
      <c r="D769" t="s">
        <v>84</v>
      </c>
      <c r="E769" t="s">
        <v>32</v>
      </c>
      <c r="F769" t="s">
        <v>27</v>
      </c>
      <c r="G769" t="s">
        <v>21</v>
      </c>
      <c r="H769" t="s">
        <v>38</v>
      </c>
      <c r="I769" t="s">
        <v>23</v>
      </c>
      <c r="J769" t="s">
        <v>30</v>
      </c>
      <c r="K769" t="s">
        <v>25</v>
      </c>
      <c r="L769">
        <v>1</v>
      </c>
      <c r="M769">
        <v>3</v>
      </c>
      <c r="N769">
        <v>4</v>
      </c>
      <c r="O769">
        <v>1</v>
      </c>
      <c r="P769">
        <v>897.62</v>
      </c>
      <c r="Q769">
        <v>66</v>
      </c>
      <c r="S769">
        <f t="shared" si="44"/>
        <v>557.6865165165168</v>
      </c>
      <c r="T769">
        <f t="shared" si="45"/>
        <v>153</v>
      </c>
      <c r="U769">
        <f t="shared" si="46"/>
        <v>1.9139139139139139</v>
      </c>
      <c r="V769">
        <f t="shared" si="47"/>
        <v>557.6865165165168</v>
      </c>
    </row>
    <row r="770" spans="1:22" x14ac:dyDescent="0.25">
      <c r="A770">
        <v>1260</v>
      </c>
      <c r="B770" s="1">
        <v>43328</v>
      </c>
      <c r="C770" t="s">
        <v>37</v>
      </c>
      <c r="D770" t="s">
        <v>18</v>
      </c>
      <c r="E770" t="s">
        <v>32</v>
      </c>
      <c r="F770" t="s">
        <v>33</v>
      </c>
      <c r="G770" t="s">
        <v>21</v>
      </c>
      <c r="H770" t="s">
        <v>62</v>
      </c>
      <c r="I770" t="s">
        <v>23</v>
      </c>
      <c r="J770" t="s">
        <v>24</v>
      </c>
      <c r="K770" t="s">
        <v>25</v>
      </c>
      <c r="L770">
        <v>5</v>
      </c>
      <c r="M770">
        <v>2</v>
      </c>
      <c r="N770">
        <v>5</v>
      </c>
      <c r="O770">
        <v>2</v>
      </c>
      <c r="P770">
        <v>786.57</v>
      </c>
      <c r="Q770">
        <v>61</v>
      </c>
      <c r="S770">
        <f t="shared" ref="S770:S833" si="48">AVERAGE(P:P)-1</f>
        <v>557.6865165165168</v>
      </c>
      <c r="T770">
        <f t="shared" ref="T770:T833" si="49">COUNTIF(D:D,"Inactive")</f>
        <v>153</v>
      </c>
      <c r="U770">
        <f t="shared" ref="U770:U833" si="50">AVERAGE(L:L)-1</f>
        <v>1.9139139139139139</v>
      </c>
      <c r="V770">
        <f t="shared" ref="V770:V833" si="51">AVERAGE(P:P)-1</f>
        <v>557.6865165165168</v>
      </c>
    </row>
    <row r="771" spans="1:22" x14ac:dyDescent="0.25">
      <c r="A771">
        <v>1261</v>
      </c>
      <c r="B771" s="1">
        <v>43826</v>
      </c>
      <c r="C771" t="s">
        <v>60</v>
      </c>
      <c r="D771" t="s">
        <v>18</v>
      </c>
      <c r="E771" t="s">
        <v>28</v>
      </c>
      <c r="F771" t="s">
        <v>20</v>
      </c>
      <c r="G771" t="s">
        <v>21</v>
      </c>
      <c r="H771" t="s">
        <v>41</v>
      </c>
      <c r="I771" t="s">
        <v>23</v>
      </c>
      <c r="J771" t="s">
        <v>24</v>
      </c>
      <c r="K771" t="s">
        <v>25</v>
      </c>
      <c r="L771">
        <v>2</v>
      </c>
      <c r="M771">
        <v>5</v>
      </c>
      <c r="N771">
        <v>4</v>
      </c>
      <c r="O771">
        <v>3</v>
      </c>
      <c r="P771">
        <v>613.92999999999995</v>
      </c>
      <c r="Q771">
        <v>60</v>
      </c>
      <c r="S771">
        <f t="shared" si="48"/>
        <v>557.6865165165168</v>
      </c>
      <c r="T771">
        <f t="shared" si="49"/>
        <v>153</v>
      </c>
      <c r="U771">
        <f t="shared" si="50"/>
        <v>1.9139139139139139</v>
      </c>
      <c r="V771">
        <f t="shared" si="51"/>
        <v>557.6865165165168</v>
      </c>
    </row>
    <row r="772" spans="1:22" x14ac:dyDescent="0.25">
      <c r="A772">
        <v>1262</v>
      </c>
      <c r="B772" s="1">
        <v>44378</v>
      </c>
      <c r="C772" t="s">
        <v>43</v>
      </c>
      <c r="D772" t="s">
        <v>84</v>
      </c>
      <c r="E772" t="s">
        <v>28</v>
      </c>
      <c r="F772" t="s">
        <v>27</v>
      </c>
      <c r="G772" t="s">
        <v>21</v>
      </c>
      <c r="H772" t="s">
        <v>47</v>
      </c>
      <c r="I772" t="s">
        <v>23</v>
      </c>
      <c r="J772" t="s">
        <v>24</v>
      </c>
      <c r="K772" t="s">
        <v>25</v>
      </c>
      <c r="L772">
        <v>3</v>
      </c>
      <c r="M772">
        <v>4</v>
      </c>
      <c r="N772">
        <v>1</v>
      </c>
      <c r="O772">
        <v>2</v>
      </c>
      <c r="P772">
        <v>711.8</v>
      </c>
      <c r="Q772">
        <v>44</v>
      </c>
      <c r="S772">
        <f t="shared" si="48"/>
        <v>557.6865165165168</v>
      </c>
      <c r="T772">
        <f t="shared" si="49"/>
        <v>153</v>
      </c>
      <c r="U772">
        <f t="shared" si="50"/>
        <v>1.9139139139139139</v>
      </c>
      <c r="V772">
        <f t="shared" si="51"/>
        <v>557.6865165165168</v>
      </c>
    </row>
    <row r="773" spans="1:22" x14ac:dyDescent="0.25">
      <c r="A773">
        <v>1263</v>
      </c>
      <c r="B773" s="1">
        <v>44854</v>
      </c>
      <c r="C773" t="s">
        <v>49</v>
      </c>
      <c r="D773" t="s">
        <v>18</v>
      </c>
      <c r="E773" t="s">
        <v>32</v>
      </c>
      <c r="F773" t="s">
        <v>33</v>
      </c>
      <c r="G773" t="s">
        <v>21</v>
      </c>
      <c r="H773" t="s">
        <v>66</v>
      </c>
      <c r="I773" t="s">
        <v>23</v>
      </c>
      <c r="J773" t="s">
        <v>24</v>
      </c>
      <c r="K773" t="s">
        <v>25</v>
      </c>
      <c r="L773">
        <v>4</v>
      </c>
      <c r="M773">
        <v>5</v>
      </c>
      <c r="N773">
        <v>3</v>
      </c>
      <c r="O773">
        <v>5</v>
      </c>
      <c r="P773">
        <v>784.1</v>
      </c>
      <c r="Q773">
        <v>70</v>
      </c>
      <c r="S773">
        <f t="shared" si="48"/>
        <v>557.6865165165168</v>
      </c>
      <c r="T773">
        <f t="shared" si="49"/>
        <v>153</v>
      </c>
      <c r="U773">
        <f t="shared" si="50"/>
        <v>1.9139139139139139</v>
      </c>
      <c r="V773">
        <f t="shared" si="51"/>
        <v>557.6865165165168</v>
      </c>
    </row>
    <row r="774" spans="1:22" x14ac:dyDescent="0.25">
      <c r="A774">
        <v>1264</v>
      </c>
      <c r="B774" s="1">
        <v>43511</v>
      </c>
      <c r="C774" t="s">
        <v>31</v>
      </c>
      <c r="D774" t="s">
        <v>18</v>
      </c>
      <c r="E774" t="s">
        <v>32</v>
      </c>
      <c r="F774" t="s">
        <v>20</v>
      </c>
      <c r="G774" t="s">
        <v>21</v>
      </c>
      <c r="H774" t="s">
        <v>41</v>
      </c>
      <c r="I774" t="s">
        <v>23</v>
      </c>
      <c r="J774" t="s">
        <v>24</v>
      </c>
      <c r="K774" t="s">
        <v>25</v>
      </c>
      <c r="L774">
        <v>3</v>
      </c>
      <c r="M774">
        <v>5</v>
      </c>
      <c r="N774">
        <v>4</v>
      </c>
      <c r="O774">
        <v>5</v>
      </c>
      <c r="P774">
        <v>509.67</v>
      </c>
      <c r="Q774">
        <v>21</v>
      </c>
      <c r="S774">
        <f t="shared" si="48"/>
        <v>557.6865165165168</v>
      </c>
      <c r="T774">
        <f t="shared" si="49"/>
        <v>153</v>
      </c>
      <c r="U774">
        <f t="shared" si="50"/>
        <v>1.9139139139139139</v>
      </c>
      <c r="V774">
        <f t="shared" si="51"/>
        <v>557.6865165165168</v>
      </c>
    </row>
    <row r="775" spans="1:22" x14ac:dyDescent="0.25">
      <c r="A775">
        <v>1265</v>
      </c>
      <c r="B775" s="1">
        <v>44578</v>
      </c>
      <c r="C775" t="s">
        <v>40</v>
      </c>
      <c r="D775" t="s">
        <v>84</v>
      </c>
      <c r="E775" t="s">
        <v>28</v>
      </c>
      <c r="F775" t="s">
        <v>20</v>
      </c>
      <c r="G775" t="s">
        <v>21</v>
      </c>
      <c r="H775" t="s">
        <v>41</v>
      </c>
      <c r="I775" t="s">
        <v>23</v>
      </c>
      <c r="J775" t="s">
        <v>30</v>
      </c>
      <c r="K775" t="s">
        <v>25</v>
      </c>
      <c r="L775">
        <v>4</v>
      </c>
      <c r="M775">
        <v>2</v>
      </c>
      <c r="N775">
        <v>5</v>
      </c>
      <c r="O775">
        <v>4</v>
      </c>
      <c r="P775">
        <v>494.96</v>
      </c>
      <c r="Q775">
        <v>46</v>
      </c>
      <c r="S775">
        <f t="shared" si="48"/>
        <v>557.6865165165168</v>
      </c>
      <c r="T775">
        <f t="shared" si="49"/>
        <v>153</v>
      </c>
      <c r="U775">
        <f t="shared" si="50"/>
        <v>1.9139139139139139</v>
      </c>
      <c r="V775">
        <f t="shared" si="51"/>
        <v>557.6865165165168</v>
      </c>
    </row>
    <row r="776" spans="1:22" x14ac:dyDescent="0.25">
      <c r="A776">
        <v>1266</v>
      </c>
      <c r="B776" s="1">
        <v>44514</v>
      </c>
      <c r="C776" t="s">
        <v>17</v>
      </c>
      <c r="D776" t="s">
        <v>84</v>
      </c>
      <c r="E776" t="s">
        <v>32</v>
      </c>
      <c r="F776" t="s">
        <v>27</v>
      </c>
      <c r="G776" t="s">
        <v>21</v>
      </c>
      <c r="H776" t="s">
        <v>62</v>
      </c>
      <c r="I776" t="s">
        <v>23</v>
      </c>
      <c r="J776" t="s">
        <v>30</v>
      </c>
      <c r="K776" t="s">
        <v>25</v>
      </c>
      <c r="L776">
        <v>1</v>
      </c>
      <c r="M776">
        <v>3</v>
      </c>
      <c r="N776">
        <v>1</v>
      </c>
      <c r="O776">
        <v>5</v>
      </c>
      <c r="P776">
        <v>465.72</v>
      </c>
      <c r="Q776">
        <v>50</v>
      </c>
      <c r="S776">
        <f t="shared" si="48"/>
        <v>557.6865165165168</v>
      </c>
      <c r="T776">
        <f t="shared" si="49"/>
        <v>153</v>
      </c>
      <c r="U776">
        <f t="shared" si="50"/>
        <v>1.9139139139139139</v>
      </c>
      <c r="V776">
        <f t="shared" si="51"/>
        <v>557.6865165165168</v>
      </c>
    </row>
    <row r="777" spans="1:22" x14ac:dyDescent="0.25">
      <c r="A777">
        <v>1267</v>
      </c>
      <c r="B777" s="1">
        <v>44149</v>
      </c>
      <c r="C777" t="s">
        <v>52</v>
      </c>
      <c r="D777" t="s">
        <v>18</v>
      </c>
      <c r="E777" t="s">
        <v>28</v>
      </c>
      <c r="F777" t="s">
        <v>20</v>
      </c>
      <c r="G777" t="s">
        <v>21</v>
      </c>
      <c r="H777" t="s">
        <v>38</v>
      </c>
      <c r="I777" t="s">
        <v>23</v>
      </c>
      <c r="J777" t="s">
        <v>24</v>
      </c>
      <c r="K777" t="s">
        <v>25</v>
      </c>
      <c r="L777">
        <v>4</v>
      </c>
      <c r="M777">
        <v>1</v>
      </c>
      <c r="N777">
        <v>5</v>
      </c>
      <c r="O777">
        <v>1</v>
      </c>
      <c r="P777">
        <v>507.43</v>
      </c>
      <c r="Q777">
        <v>49</v>
      </c>
      <c r="S777">
        <f t="shared" si="48"/>
        <v>557.6865165165168</v>
      </c>
      <c r="T777">
        <f t="shared" si="49"/>
        <v>153</v>
      </c>
      <c r="U777">
        <f t="shared" si="50"/>
        <v>1.9139139139139139</v>
      </c>
      <c r="V777">
        <f t="shared" si="51"/>
        <v>557.6865165165168</v>
      </c>
    </row>
    <row r="778" spans="1:22" x14ac:dyDescent="0.25">
      <c r="A778">
        <v>1268</v>
      </c>
      <c r="B778" s="1">
        <v>44982</v>
      </c>
      <c r="C778" t="s">
        <v>26</v>
      </c>
      <c r="D778" t="s">
        <v>18</v>
      </c>
      <c r="E778" t="s">
        <v>28</v>
      </c>
      <c r="F778" t="s">
        <v>27</v>
      </c>
      <c r="G778" t="s">
        <v>21</v>
      </c>
      <c r="H778" t="s">
        <v>38</v>
      </c>
      <c r="I778" t="s">
        <v>23</v>
      </c>
      <c r="J778" t="s">
        <v>24</v>
      </c>
      <c r="K778" t="s">
        <v>25</v>
      </c>
      <c r="L778">
        <v>2</v>
      </c>
      <c r="M778">
        <v>1</v>
      </c>
      <c r="N778">
        <v>2</v>
      </c>
      <c r="O778">
        <v>5</v>
      </c>
      <c r="P778">
        <v>401.97</v>
      </c>
      <c r="Q778">
        <v>62</v>
      </c>
      <c r="S778">
        <f t="shared" si="48"/>
        <v>557.6865165165168</v>
      </c>
      <c r="T778">
        <f t="shared" si="49"/>
        <v>153</v>
      </c>
      <c r="U778">
        <f t="shared" si="50"/>
        <v>1.9139139139139139</v>
      </c>
      <c r="V778">
        <f t="shared" si="51"/>
        <v>557.6865165165168</v>
      </c>
    </row>
    <row r="779" spans="1:22" x14ac:dyDescent="0.25">
      <c r="A779">
        <v>1269</v>
      </c>
      <c r="B779" s="1">
        <v>44796</v>
      </c>
      <c r="C779" t="s">
        <v>54</v>
      </c>
      <c r="D779" t="s">
        <v>18</v>
      </c>
      <c r="E779" t="s">
        <v>19</v>
      </c>
      <c r="F779" t="s">
        <v>27</v>
      </c>
      <c r="G779" t="s">
        <v>21</v>
      </c>
      <c r="H779" t="s">
        <v>71</v>
      </c>
      <c r="I779" t="s">
        <v>23</v>
      </c>
      <c r="J779" t="s">
        <v>24</v>
      </c>
      <c r="K779" t="s">
        <v>25</v>
      </c>
      <c r="L779">
        <v>1</v>
      </c>
      <c r="M779">
        <v>2</v>
      </c>
      <c r="N779">
        <v>4</v>
      </c>
      <c r="O779">
        <v>4</v>
      </c>
      <c r="P779">
        <v>813.9</v>
      </c>
      <c r="Q779">
        <v>57</v>
      </c>
      <c r="S779">
        <f t="shared" si="48"/>
        <v>557.6865165165168</v>
      </c>
      <c r="T779">
        <f t="shared" si="49"/>
        <v>153</v>
      </c>
      <c r="U779">
        <f t="shared" si="50"/>
        <v>1.9139139139139139</v>
      </c>
      <c r="V779">
        <f t="shared" si="51"/>
        <v>557.6865165165168</v>
      </c>
    </row>
    <row r="780" spans="1:22" x14ac:dyDescent="0.25">
      <c r="A780">
        <v>1270</v>
      </c>
      <c r="B780" s="1">
        <v>43586</v>
      </c>
      <c r="C780" t="s">
        <v>37</v>
      </c>
      <c r="D780" t="s">
        <v>18</v>
      </c>
      <c r="E780" t="s">
        <v>28</v>
      </c>
      <c r="F780" t="s">
        <v>20</v>
      </c>
      <c r="G780" t="s">
        <v>21</v>
      </c>
      <c r="H780" t="s">
        <v>41</v>
      </c>
      <c r="I780" t="s">
        <v>23</v>
      </c>
      <c r="J780" t="s">
        <v>24</v>
      </c>
      <c r="K780" t="s">
        <v>25</v>
      </c>
      <c r="L780">
        <v>5</v>
      </c>
      <c r="M780">
        <v>5</v>
      </c>
      <c r="N780">
        <v>1</v>
      </c>
      <c r="O780">
        <v>2</v>
      </c>
      <c r="P780">
        <v>360.02</v>
      </c>
      <c r="Q780">
        <v>52</v>
      </c>
      <c r="S780">
        <f t="shared" si="48"/>
        <v>557.6865165165168</v>
      </c>
      <c r="T780">
        <f t="shared" si="49"/>
        <v>153</v>
      </c>
      <c r="U780">
        <f t="shared" si="50"/>
        <v>1.9139139139139139</v>
      </c>
      <c r="V780">
        <f t="shared" si="51"/>
        <v>557.6865165165168</v>
      </c>
    </row>
    <row r="781" spans="1:22" x14ac:dyDescent="0.25">
      <c r="A781">
        <v>1271</v>
      </c>
      <c r="B781" s="1">
        <v>43947</v>
      </c>
      <c r="C781" t="s">
        <v>60</v>
      </c>
      <c r="D781" t="s">
        <v>18</v>
      </c>
      <c r="E781" t="s">
        <v>32</v>
      </c>
      <c r="F781" t="s">
        <v>27</v>
      </c>
      <c r="G781" t="s">
        <v>21</v>
      </c>
      <c r="H781" t="s">
        <v>35</v>
      </c>
      <c r="I781" t="s">
        <v>23</v>
      </c>
      <c r="J781" t="s">
        <v>24</v>
      </c>
      <c r="K781" t="s">
        <v>25</v>
      </c>
      <c r="L781">
        <v>3</v>
      </c>
      <c r="M781">
        <v>1</v>
      </c>
      <c r="N781">
        <v>5</v>
      </c>
      <c r="O781">
        <v>3</v>
      </c>
      <c r="P781">
        <v>692.71</v>
      </c>
      <c r="Q781">
        <v>69</v>
      </c>
      <c r="S781">
        <f t="shared" si="48"/>
        <v>557.6865165165168</v>
      </c>
      <c r="T781">
        <f t="shared" si="49"/>
        <v>153</v>
      </c>
      <c r="U781">
        <f t="shared" si="50"/>
        <v>1.9139139139139139</v>
      </c>
      <c r="V781">
        <f t="shared" si="51"/>
        <v>557.6865165165168</v>
      </c>
    </row>
    <row r="782" spans="1:22" x14ac:dyDescent="0.25">
      <c r="A782">
        <v>1272</v>
      </c>
      <c r="B782" s="1">
        <v>44235</v>
      </c>
      <c r="C782" t="s">
        <v>43</v>
      </c>
      <c r="D782" t="s">
        <v>18</v>
      </c>
      <c r="E782" t="s">
        <v>32</v>
      </c>
      <c r="F782" t="s">
        <v>20</v>
      </c>
      <c r="G782" t="s">
        <v>21</v>
      </c>
      <c r="H782" t="s">
        <v>44</v>
      </c>
      <c r="I782" t="s">
        <v>23</v>
      </c>
      <c r="J782" t="s">
        <v>24</v>
      </c>
      <c r="K782" t="s">
        <v>25</v>
      </c>
      <c r="L782">
        <v>4</v>
      </c>
      <c r="M782">
        <v>2</v>
      </c>
      <c r="N782">
        <v>3</v>
      </c>
      <c r="O782">
        <v>3</v>
      </c>
      <c r="P782">
        <v>233.12</v>
      </c>
      <c r="Q782">
        <v>50</v>
      </c>
      <c r="S782">
        <f t="shared" si="48"/>
        <v>557.6865165165168</v>
      </c>
      <c r="T782">
        <f t="shared" si="49"/>
        <v>153</v>
      </c>
      <c r="U782">
        <f t="shared" si="50"/>
        <v>1.9139139139139139</v>
      </c>
      <c r="V782">
        <f t="shared" si="51"/>
        <v>557.6865165165168</v>
      </c>
    </row>
    <row r="783" spans="1:22" x14ac:dyDescent="0.25">
      <c r="A783">
        <v>1273</v>
      </c>
      <c r="B783" s="1">
        <v>44133</v>
      </c>
      <c r="C783" t="s">
        <v>49</v>
      </c>
      <c r="D783" t="s">
        <v>18</v>
      </c>
      <c r="E783" t="s">
        <v>19</v>
      </c>
      <c r="F783" t="s">
        <v>27</v>
      </c>
      <c r="G783" t="s">
        <v>21</v>
      </c>
      <c r="H783" t="s">
        <v>35</v>
      </c>
      <c r="I783" t="s">
        <v>23</v>
      </c>
      <c r="J783" t="s">
        <v>24</v>
      </c>
      <c r="K783" t="s">
        <v>25</v>
      </c>
      <c r="L783">
        <v>1</v>
      </c>
      <c r="M783">
        <v>4</v>
      </c>
      <c r="N783">
        <v>2</v>
      </c>
      <c r="O783">
        <v>1</v>
      </c>
      <c r="P783">
        <v>881.48</v>
      </c>
      <c r="Q783">
        <v>63</v>
      </c>
      <c r="S783">
        <f t="shared" si="48"/>
        <v>557.6865165165168</v>
      </c>
      <c r="T783">
        <f t="shared" si="49"/>
        <v>153</v>
      </c>
      <c r="U783">
        <f t="shared" si="50"/>
        <v>1.9139139139139139</v>
      </c>
      <c r="V783">
        <f t="shared" si="51"/>
        <v>557.6865165165168</v>
      </c>
    </row>
    <row r="784" spans="1:22" x14ac:dyDescent="0.25">
      <c r="A784">
        <v>1274</v>
      </c>
      <c r="B784" s="1">
        <v>44887</v>
      </c>
      <c r="C784" t="s">
        <v>31</v>
      </c>
      <c r="D784" t="s">
        <v>18</v>
      </c>
      <c r="E784" t="s">
        <v>19</v>
      </c>
      <c r="F784" t="s">
        <v>27</v>
      </c>
      <c r="G784" t="s">
        <v>21</v>
      </c>
      <c r="H784" t="s">
        <v>47</v>
      </c>
      <c r="I784" t="s">
        <v>23</v>
      </c>
      <c r="J784" t="s">
        <v>24</v>
      </c>
      <c r="K784" t="s">
        <v>25</v>
      </c>
      <c r="L784">
        <v>2</v>
      </c>
      <c r="M784">
        <v>1</v>
      </c>
      <c r="N784">
        <v>5</v>
      </c>
      <c r="O784">
        <v>2</v>
      </c>
      <c r="P784">
        <v>448.48</v>
      </c>
      <c r="Q784">
        <v>47</v>
      </c>
      <c r="S784">
        <f t="shared" si="48"/>
        <v>557.6865165165168</v>
      </c>
      <c r="T784">
        <f t="shared" si="49"/>
        <v>153</v>
      </c>
      <c r="U784">
        <f t="shared" si="50"/>
        <v>1.9139139139139139</v>
      </c>
      <c r="V784">
        <f t="shared" si="51"/>
        <v>557.6865165165168</v>
      </c>
    </row>
    <row r="785" spans="1:22" x14ac:dyDescent="0.25">
      <c r="A785">
        <v>1275</v>
      </c>
      <c r="B785" s="1">
        <v>44845</v>
      </c>
      <c r="C785" t="s">
        <v>17</v>
      </c>
      <c r="D785" t="s">
        <v>18</v>
      </c>
      <c r="E785" t="s">
        <v>32</v>
      </c>
      <c r="F785" t="s">
        <v>33</v>
      </c>
      <c r="G785" t="s">
        <v>21</v>
      </c>
      <c r="H785" t="s">
        <v>29</v>
      </c>
      <c r="I785" t="s">
        <v>23</v>
      </c>
      <c r="J785" t="s">
        <v>24</v>
      </c>
      <c r="K785" t="s">
        <v>25</v>
      </c>
      <c r="L785">
        <v>2</v>
      </c>
      <c r="M785">
        <v>5</v>
      </c>
      <c r="N785">
        <v>3</v>
      </c>
      <c r="O785">
        <v>3</v>
      </c>
      <c r="P785">
        <v>288.88</v>
      </c>
      <c r="Q785">
        <v>40</v>
      </c>
      <c r="S785">
        <f t="shared" si="48"/>
        <v>557.6865165165168</v>
      </c>
      <c r="T785">
        <f t="shared" si="49"/>
        <v>153</v>
      </c>
      <c r="U785">
        <f t="shared" si="50"/>
        <v>1.9139139139139139</v>
      </c>
      <c r="V785">
        <f t="shared" si="51"/>
        <v>557.6865165165168</v>
      </c>
    </row>
    <row r="786" spans="1:22" x14ac:dyDescent="0.25">
      <c r="A786">
        <v>1276</v>
      </c>
      <c r="B786" s="1">
        <v>43827</v>
      </c>
      <c r="C786" t="s">
        <v>26</v>
      </c>
      <c r="D786" t="s">
        <v>18</v>
      </c>
      <c r="E786" t="s">
        <v>32</v>
      </c>
      <c r="F786" t="s">
        <v>27</v>
      </c>
      <c r="G786" t="s">
        <v>21</v>
      </c>
      <c r="H786" t="s">
        <v>35</v>
      </c>
      <c r="I786" t="s">
        <v>23</v>
      </c>
      <c r="J786" t="s">
        <v>24</v>
      </c>
      <c r="K786" t="s">
        <v>25</v>
      </c>
      <c r="L786">
        <v>1</v>
      </c>
      <c r="M786">
        <v>4</v>
      </c>
      <c r="N786">
        <v>5</v>
      </c>
      <c r="O786">
        <v>1</v>
      </c>
      <c r="P786">
        <v>572.45000000000005</v>
      </c>
      <c r="Q786">
        <v>41</v>
      </c>
      <c r="S786">
        <f t="shared" si="48"/>
        <v>557.6865165165168</v>
      </c>
      <c r="T786">
        <f t="shared" si="49"/>
        <v>153</v>
      </c>
      <c r="U786">
        <f t="shared" si="50"/>
        <v>1.9139139139139139</v>
      </c>
      <c r="V786">
        <f t="shared" si="51"/>
        <v>557.6865165165168</v>
      </c>
    </row>
    <row r="787" spans="1:22" x14ac:dyDescent="0.25">
      <c r="A787">
        <v>1277</v>
      </c>
      <c r="B787" s="1">
        <v>43566</v>
      </c>
      <c r="C787" t="s">
        <v>54</v>
      </c>
      <c r="D787" t="s">
        <v>18</v>
      </c>
      <c r="E787" t="s">
        <v>32</v>
      </c>
      <c r="F787" t="s">
        <v>20</v>
      </c>
      <c r="G787" t="s">
        <v>21</v>
      </c>
      <c r="H787" t="s">
        <v>56</v>
      </c>
      <c r="I787" t="s">
        <v>23</v>
      </c>
      <c r="J787" t="s">
        <v>24</v>
      </c>
      <c r="K787" t="s">
        <v>25</v>
      </c>
      <c r="L787">
        <v>4</v>
      </c>
      <c r="M787">
        <v>3</v>
      </c>
      <c r="N787">
        <v>3</v>
      </c>
      <c r="O787">
        <v>3</v>
      </c>
      <c r="P787">
        <v>141.38</v>
      </c>
      <c r="Q787">
        <v>35</v>
      </c>
      <c r="S787">
        <f t="shared" si="48"/>
        <v>557.6865165165168</v>
      </c>
      <c r="T787">
        <f t="shared" si="49"/>
        <v>153</v>
      </c>
      <c r="U787">
        <f t="shared" si="50"/>
        <v>1.9139139139139139</v>
      </c>
      <c r="V787">
        <f t="shared" si="51"/>
        <v>557.6865165165168</v>
      </c>
    </row>
    <row r="788" spans="1:22" x14ac:dyDescent="0.25">
      <c r="A788">
        <v>1278</v>
      </c>
      <c r="B788" s="1">
        <v>44130</v>
      </c>
      <c r="C788" t="s">
        <v>49</v>
      </c>
      <c r="D788" t="s">
        <v>18</v>
      </c>
      <c r="E788" t="s">
        <v>32</v>
      </c>
      <c r="F788" t="s">
        <v>27</v>
      </c>
      <c r="G788" t="s">
        <v>21</v>
      </c>
      <c r="H788" t="s">
        <v>41</v>
      </c>
      <c r="I788" t="s">
        <v>23</v>
      </c>
      <c r="J788" t="s">
        <v>24</v>
      </c>
      <c r="K788" t="s">
        <v>25</v>
      </c>
      <c r="L788">
        <v>2</v>
      </c>
      <c r="M788">
        <v>4</v>
      </c>
      <c r="N788">
        <v>5</v>
      </c>
      <c r="O788">
        <v>1</v>
      </c>
      <c r="P788">
        <v>331.46</v>
      </c>
      <c r="Q788">
        <v>65</v>
      </c>
      <c r="S788">
        <f t="shared" si="48"/>
        <v>557.6865165165168</v>
      </c>
      <c r="T788">
        <f t="shared" si="49"/>
        <v>153</v>
      </c>
      <c r="U788">
        <f t="shared" si="50"/>
        <v>1.9139139139139139</v>
      </c>
      <c r="V788">
        <f t="shared" si="51"/>
        <v>557.6865165165168</v>
      </c>
    </row>
    <row r="789" spans="1:22" x14ac:dyDescent="0.25">
      <c r="A789">
        <v>1279</v>
      </c>
      <c r="B789" s="1">
        <v>44386</v>
      </c>
      <c r="C789" t="s">
        <v>31</v>
      </c>
      <c r="D789" t="s">
        <v>84</v>
      </c>
      <c r="E789" t="s">
        <v>28</v>
      </c>
      <c r="F789" t="s">
        <v>33</v>
      </c>
      <c r="G789" t="s">
        <v>21</v>
      </c>
      <c r="H789" t="s">
        <v>41</v>
      </c>
      <c r="I789" t="s">
        <v>23</v>
      </c>
      <c r="J789" t="s">
        <v>24</v>
      </c>
      <c r="K789" t="s">
        <v>25</v>
      </c>
      <c r="L789">
        <v>3</v>
      </c>
      <c r="M789">
        <v>3</v>
      </c>
      <c r="N789">
        <v>5</v>
      </c>
      <c r="O789">
        <v>4</v>
      </c>
      <c r="P789">
        <v>704.93</v>
      </c>
      <c r="Q789">
        <v>27</v>
      </c>
      <c r="S789">
        <f t="shared" si="48"/>
        <v>557.6865165165168</v>
      </c>
      <c r="T789">
        <f t="shared" si="49"/>
        <v>153</v>
      </c>
      <c r="U789">
        <f t="shared" si="50"/>
        <v>1.9139139139139139</v>
      </c>
      <c r="V789">
        <f t="shared" si="51"/>
        <v>557.6865165165168</v>
      </c>
    </row>
    <row r="790" spans="1:22" x14ac:dyDescent="0.25">
      <c r="A790">
        <v>1280</v>
      </c>
      <c r="B790" s="1">
        <v>44573</v>
      </c>
      <c r="C790" t="s">
        <v>54</v>
      </c>
      <c r="D790" t="s">
        <v>18</v>
      </c>
      <c r="E790" t="s">
        <v>32</v>
      </c>
      <c r="F790" t="s">
        <v>20</v>
      </c>
      <c r="G790" t="s">
        <v>21</v>
      </c>
      <c r="H790" t="s">
        <v>35</v>
      </c>
      <c r="I790" t="s">
        <v>23</v>
      </c>
      <c r="J790" t="s">
        <v>30</v>
      </c>
      <c r="K790" t="s">
        <v>25</v>
      </c>
      <c r="L790">
        <v>3</v>
      </c>
      <c r="M790">
        <v>2</v>
      </c>
      <c r="N790">
        <v>2</v>
      </c>
      <c r="O790">
        <v>4</v>
      </c>
      <c r="P790">
        <v>450.65</v>
      </c>
      <c r="Q790">
        <v>78</v>
      </c>
      <c r="S790">
        <f t="shared" si="48"/>
        <v>557.6865165165168</v>
      </c>
      <c r="T790">
        <f t="shared" si="49"/>
        <v>153</v>
      </c>
      <c r="U790">
        <f t="shared" si="50"/>
        <v>1.9139139139139139</v>
      </c>
      <c r="V790">
        <f t="shared" si="51"/>
        <v>557.6865165165168</v>
      </c>
    </row>
    <row r="791" spans="1:22" x14ac:dyDescent="0.25">
      <c r="A791">
        <v>1281</v>
      </c>
      <c r="B791" s="1">
        <v>44050</v>
      </c>
      <c r="C791" t="s">
        <v>37</v>
      </c>
      <c r="D791" t="s">
        <v>84</v>
      </c>
      <c r="E791" t="s">
        <v>28</v>
      </c>
      <c r="F791" t="s">
        <v>27</v>
      </c>
      <c r="G791" t="s">
        <v>21</v>
      </c>
      <c r="H791" t="s">
        <v>22</v>
      </c>
      <c r="I791" t="s">
        <v>23</v>
      </c>
      <c r="J791" t="s">
        <v>24</v>
      </c>
      <c r="K791" t="s">
        <v>25</v>
      </c>
      <c r="L791">
        <v>4</v>
      </c>
      <c r="M791">
        <v>2</v>
      </c>
      <c r="N791">
        <v>1</v>
      </c>
      <c r="O791">
        <v>3</v>
      </c>
      <c r="P791">
        <v>775.97</v>
      </c>
      <c r="Q791">
        <v>52</v>
      </c>
      <c r="S791">
        <f t="shared" si="48"/>
        <v>557.6865165165168</v>
      </c>
      <c r="T791">
        <f t="shared" si="49"/>
        <v>153</v>
      </c>
      <c r="U791">
        <f t="shared" si="50"/>
        <v>1.9139139139139139</v>
      </c>
      <c r="V791">
        <f t="shared" si="51"/>
        <v>557.6865165165168</v>
      </c>
    </row>
    <row r="792" spans="1:22" x14ac:dyDescent="0.25">
      <c r="A792">
        <v>1282</v>
      </c>
      <c r="B792" s="1">
        <v>44296</v>
      </c>
      <c r="C792" t="s">
        <v>40</v>
      </c>
      <c r="D792" t="s">
        <v>84</v>
      </c>
      <c r="E792" t="s">
        <v>28</v>
      </c>
      <c r="F792" t="s">
        <v>27</v>
      </c>
      <c r="G792" t="s">
        <v>21</v>
      </c>
      <c r="H792" t="s">
        <v>68</v>
      </c>
      <c r="I792" t="s">
        <v>23</v>
      </c>
      <c r="J792" t="s">
        <v>24</v>
      </c>
      <c r="K792" t="s">
        <v>25</v>
      </c>
      <c r="L792">
        <v>3</v>
      </c>
      <c r="M792">
        <v>3</v>
      </c>
      <c r="N792">
        <v>1</v>
      </c>
      <c r="O792">
        <v>4</v>
      </c>
      <c r="P792">
        <v>376</v>
      </c>
      <c r="Q792">
        <v>41</v>
      </c>
      <c r="S792">
        <f t="shared" si="48"/>
        <v>557.6865165165168</v>
      </c>
      <c r="T792">
        <f t="shared" si="49"/>
        <v>153</v>
      </c>
      <c r="U792">
        <f t="shared" si="50"/>
        <v>1.9139139139139139</v>
      </c>
      <c r="V792">
        <f t="shared" si="51"/>
        <v>557.6865165165168</v>
      </c>
    </row>
    <row r="793" spans="1:22" x14ac:dyDescent="0.25">
      <c r="A793">
        <v>1283</v>
      </c>
      <c r="B793" s="1">
        <v>44207</v>
      </c>
      <c r="C793" t="s">
        <v>17</v>
      </c>
      <c r="D793" t="s">
        <v>18</v>
      </c>
      <c r="E793" t="s">
        <v>32</v>
      </c>
      <c r="F793" t="s">
        <v>20</v>
      </c>
      <c r="G793" t="s">
        <v>21</v>
      </c>
      <c r="H793" t="s">
        <v>44</v>
      </c>
      <c r="I793" t="s">
        <v>23</v>
      </c>
      <c r="J793" t="s">
        <v>24</v>
      </c>
      <c r="K793" t="s">
        <v>25</v>
      </c>
      <c r="L793">
        <v>2</v>
      </c>
      <c r="M793">
        <v>1</v>
      </c>
      <c r="N793">
        <v>2</v>
      </c>
      <c r="O793">
        <v>2</v>
      </c>
      <c r="P793">
        <v>106.54</v>
      </c>
      <c r="Q793">
        <v>21</v>
      </c>
      <c r="S793">
        <f t="shared" si="48"/>
        <v>557.6865165165168</v>
      </c>
      <c r="T793">
        <f t="shared" si="49"/>
        <v>153</v>
      </c>
      <c r="U793">
        <f t="shared" si="50"/>
        <v>1.9139139139139139</v>
      </c>
      <c r="V793">
        <f t="shared" si="51"/>
        <v>557.6865165165168</v>
      </c>
    </row>
    <row r="794" spans="1:22" x14ac:dyDescent="0.25">
      <c r="A794">
        <v>1284</v>
      </c>
      <c r="B794" s="1">
        <v>43807</v>
      </c>
      <c r="C794" t="s">
        <v>26</v>
      </c>
      <c r="D794" t="s">
        <v>18</v>
      </c>
      <c r="E794" t="s">
        <v>19</v>
      </c>
      <c r="F794" t="s">
        <v>33</v>
      </c>
      <c r="G794" t="s">
        <v>21</v>
      </c>
      <c r="H794" t="s">
        <v>44</v>
      </c>
      <c r="I794" t="s">
        <v>23</v>
      </c>
      <c r="J794" t="s">
        <v>24</v>
      </c>
      <c r="K794" t="s">
        <v>25</v>
      </c>
      <c r="L794">
        <v>5</v>
      </c>
      <c r="M794">
        <v>1</v>
      </c>
      <c r="N794">
        <v>5</v>
      </c>
      <c r="O794">
        <v>1</v>
      </c>
      <c r="P794">
        <v>852.87</v>
      </c>
      <c r="Q794">
        <v>34</v>
      </c>
      <c r="S794">
        <f t="shared" si="48"/>
        <v>557.6865165165168</v>
      </c>
      <c r="T794">
        <f t="shared" si="49"/>
        <v>153</v>
      </c>
      <c r="U794">
        <f t="shared" si="50"/>
        <v>1.9139139139139139</v>
      </c>
      <c r="V794">
        <f t="shared" si="51"/>
        <v>557.6865165165168</v>
      </c>
    </row>
    <row r="795" spans="1:22" x14ac:dyDescent="0.25">
      <c r="A795">
        <v>1285</v>
      </c>
      <c r="B795" s="1">
        <v>44465</v>
      </c>
      <c r="C795" t="s">
        <v>54</v>
      </c>
      <c r="D795" t="s">
        <v>18</v>
      </c>
      <c r="E795" t="s">
        <v>28</v>
      </c>
      <c r="F795" t="s">
        <v>20</v>
      </c>
      <c r="G795" t="s">
        <v>21</v>
      </c>
      <c r="H795" t="s">
        <v>44</v>
      </c>
      <c r="I795" t="s">
        <v>23</v>
      </c>
      <c r="J795" t="s">
        <v>30</v>
      </c>
      <c r="K795" t="s">
        <v>25</v>
      </c>
      <c r="L795">
        <v>3</v>
      </c>
      <c r="M795">
        <v>2</v>
      </c>
      <c r="N795">
        <v>2</v>
      </c>
      <c r="O795">
        <v>4</v>
      </c>
      <c r="P795">
        <v>469.03</v>
      </c>
      <c r="Q795">
        <v>27</v>
      </c>
      <c r="S795">
        <f t="shared" si="48"/>
        <v>557.6865165165168</v>
      </c>
      <c r="T795">
        <f t="shared" si="49"/>
        <v>153</v>
      </c>
      <c r="U795">
        <f t="shared" si="50"/>
        <v>1.9139139139139139</v>
      </c>
      <c r="V795">
        <f t="shared" si="51"/>
        <v>557.6865165165168</v>
      </c>
    </row>
    <row r="796" spans="1:22" x14ac:dyDescent="0.25">
      <c r="A796">
        <v>1286</v>
      </c>
      <c r="B796" s="1">
        <v>44448</v>
      </c>
      <c r="C796" t="s">
        <v>49</v>
      </c>
      <c r="D796" t="s">
        <v>84</v>
      </c>
      <c r="E796" t="s">
        <v>32</v>
      </c>
      <c r="F796" t="s">
        <v>33</v>
      </c>
      <c r="G796" t="s">
        <v>21</v>
      </c>
      <c r="H796" t="s">
        <v>41</v>
      </c>
      <c r="I796" t="s">
        <v>23</v>
      </c>
      <c r="J796" t="s">
        <v>30</v>
      </c>
      <c r="K796" t="s">
        <v>25</v>
      </c>
      <c r="L796">
        <v>1</v>
      </c>
      <c r="M796">
        <v>5</v>
      </c>
      <c r="N796">
        <v>1</v>
      </c>
      <c r="O796">
        <v>2</v>
      </c>
      <c r="P796">
        <v>274.85000000000002</v>
      </c>
      <c r="Q796">
        <v>22</v>
      </c>
      <c r="S796">
        <f t="shared" si="48"/>
        <v>557.6865165165168</v>
      </c>
      <c r="T796">
        <f t="shared" si="49"/>
        <v>153</v>
      </c>
      <c r="U796">
        <f t="shared" si="50"/>
        <v>1.9139139139139139</v>
      </c>
      <c r="V796">
        <f t="shared" si="51"/>
        <v>557.6865165165168</v>
      </c>
    </row>
    <row r="797" spans="1:22" x14ac:dyDescent="0.25">
      <c r="A797">
        <v>1287</v>
      </c>
      <c r="B797" s="1">
        <v>44093</v>
      </c>
      <c r="C797" t="s">
        <v>31</v>
      </c>
      <c r="D797" t="s">
        <v>84</v>
      </c>
      <c r="E797" t="s">
        <v>32</v>
      </c>
      <c r="F797" t="s">
        <v>27</v>
      </c>
      <c r="G797" t="s">
        <v>21</v>
      </c>
      <c r="H797" t="s">
        <v>38</v>
      </c>
      <c r="I797" t="s">
        <v>23</v>
      </c>
      <c r="J797" t="s">
        <v>24</v>
      </c>
      <c r="K797" t="s">
        <v>25</v>
      </c>
      <c r="L797">
        <v>3</v>
      </c>
      <c r="M797">
        <v>5</v>
      </c>
      <c r="N797">
        <v>2</v>
      </c>
      <c r="O797">
        <v>1</v>
      </c>
      <c r="P797">
        <v>342.57</v>
      </c>
      <c r="Q797">
        <v>77</v>
      </c>
      <c r="S797">
        <f t="shared" si="48"/>
        <v>557.6865165165168</v>
      </c>
      <c r="T797">
        <f t="shared" si="49"/>
        <v>153</v>
      </c>
      <c r="U797">
        <f t="shared" si="50"/>
        <v>1.9139139139139139</v>
      </c>
      <c r="V797">
        <f t="shared" si="51"/>
        <v>557.6865165165168</v>
      </c>
    </row>
    <row r="798" spans="1:22" x14ac:dyDescent="0.25">
      <c r="A798">
        <v>1288</v>
      </c>
      <c r="B798" s="1">
        <v>44572</v>
      </c>
      <c r="C798" t="s">
        <v>60</v>
      </c>
      <c r="D798" t="s">
        <v>18</v>
      </c>
      <c r="E798" t="s">
        <v>32</v>
      </c>
      <c r="F798" t="s">
        <v>20</v>
      </c>
      <c r="G798" t="s">
        <v>21</v>
      </c>
      <c r="H798" t="s">
        <v>29</v>
      </c>
      <c r="I798" t="s">
        <v>23</v>
      </c>
      <c r="J798" t="s">
        <v>24</v>
      </c>
      <c r="K798" t="s">
        <v>25</v>
      </c>
      <c r="L798">
        <v>2</v>
      </c>
      <c r="M798">
        <v>4</v>
      </c>
      <c r="N798">
        <v>5</v>
      </c>
      <c r="O798">
        <v>5</v>
      </c>
      <c r="P798">
        <v>948.31</v>
      </c>
      <c r="Q798">
        <v>24</v>
      </c>
      <c r="S798">
        <f t="shared" si="48"/>
        <v>557.6865165165168</v>
      </c>
      <c r="T798">
        <f t="shared" si="49"/>
        <v>153</v>
      </c>
      <c r="U798">
        <f t="shared" si="50"/>
        <v>1.9139139139139139</v>
      </c>
      <c r="V798">
        <f t="shared" si="51"/>
        <v>557.6865165165168</v>
      </c>
    </row>
    <row r="799" spans="1:22" x14ac:dyDescent="0.25">
      <c r="A799">
        <v>1289</v>
      </c>
      <c r="B799" s="1">
        <v>43664</v>
      </c>
      <c r="C799" t="s">
        <v>52</v>
      </c>
      <c r="D799" t="s">
        <v>18</v>
      </c>
      <c r="E799" t="s">
        <v>32</v>
      </c>
      <c r="F799" t="s">
        <v>20</v>
      </c>
      <c r="G799" t="s">
        <v>21</v>
      </c>
      <c r="H799" t="s">
        <v>38</v>
      </c>
      <c r="I799" t="s">
        <v>23</v>
      </c>
      <c r="J799" t="s">
        <v>24</v>
      </c>
      <c r="K799" t="s">
        <v>25</v>
      </c>
      <c r="L799">
        <v>5</v>
      </c>
      <c r="M799">
        <v>3</v>
      </c>
      <c r="N799">
        <v>1</v>
      </c>
      <c r="O799">
        <v>3</v>
      </c>
      <c r="P799">
        <v>900.52</v>
      </c>
      <c r="Q799">
        <v>77</v>
      </c>
      <c r="S799">
        <f t="shared" si="48"/>
        <v>557.6865165165168</v>
      </c>
      <c r="T799">
        <f t="shared" si="49"/>
        <v>153</v>
      </c>
      <c r="U799">
        <f t="shared" si="50"/>
        <v>1.9139139139139139</v>
      </c>
      <c r="V799">
        <f t="shared" si="51"/>
        <v>557.6865165165168</v>
      </c>
    </row>
    <row r="800" spans="1:22" x14ac:dyDescent="0.25">
      <c r="A800">
        <v>1290</v>
      </c>
      <c r="B800" s="1">
        <v>44299</v>
      </c>
      <c r="C800" t="s">
        <v>37</v>
      </c>
      <c r="D800" t="s">
        <v>18</v>
      </c>
      <c r="E800" t="s">
        <v>32</v>
      </c>
      <c r="F800" t="s">
        <v>27</v>
      </c>
      <c r="G800" t="s">
        <v>21</v>
      </c>
      <c r="H800" t="s">
        <v>35</v>
      </c>
      <c r="I800" t="s">
        <v>23</v>
      </c>
      <c r="J800" t="s">
        <v>24</v>
      </c>
      <c r="K800" t="s">
        <v>25</v>
      </c>
      <c r="L800">
        <v>5</v>
      </c>
      <c r="M800">
        <v>4</v>
      </c>
      <c r="N800">
        <v>2</v>
      </c>
      <c r="O800">
        <v>4</v>
      </c>
      <c r="P800">
        <v>140.72</v>
      </c>
      <c r="Q800">
        <v>25</v>
      </c>
      <c r="S800">
        <f t="shared" si="48"/>
        <v>557.6865165165168</v>
      </c>
      <c r="T800">
        <f t="shared" si="49"/>
        <v>153</v>
      </c>
      <c r="U800">
        <f t="shared" si="50"/>
        <v>1.9139139139139139</v>
      </c>
      <c r="V800">
        <f t="shared" si="51"/>
        <v>557.6865165165168</v>
      </c>
    </row>
    <row r="801" spans="1:22" x14ac:dyDescent="0.25">
      <c r="A801">
        <v>1291</v>
      </c>
      <c r="B801" s="1">
        <v>45094</v>
      </c>
      <c r="C801" t="s">
        <v>43</v>
      </c>
      <c r="D801" t="s">
        <v>18</v>
      </c>
      <c r="E801" t="s">
        <v>19</v>
      </c>
      <c r="F801" t="s">
        <v>33</v>
      </c>
      <c r="G801" t="s">
        <v>21</v>
      </c>
      <c r="H801" t="s">
        <v>47</v>
      </c>
      <c r="I801" t="s">
        <v>23</v>
      </c>
      <c r="J801" t="s">
        <v>24</v>
      </c>
      <c r="K801" t="s">
        <v>25</v>
      </c>
      <c r="L801">
        <v>5</v>
      </c>
      <c r="M801">
        <v>4</v>
      </c>
      <c r="N801">
        <v>5</v>
      </c>
      <c r="O801">
        <v>3</v>
      </c>
      <c r="P801">
        <v>913.62</v>
      </c>
      <c r="Q801">
        <v>35</v>
      </c>
      <c r="S801">
        <f t="shared" si="48"/>
        <v>557.6865165165168</v>
      </c>
      <c r="T801">
        <f t="shared" si="49"/>
        <v>153</v>
      </c>
      <c r="U801">
        <f t="shared" si="50"/>
        <v>1.9139139139139139</v>
      </c>
      <c r="V801">
        <f t="shared" si="51"/>
        <v>557.6865165165168</v>
      </c>
    </row>
    <row r="802" spans="1:22" x14ac:dyDescent="0.25">
      <c r="A802">
        <v>1292</v>
      </c>
      <c r="B802" s="1">
        <v>43400</v>
      </c>
      <c r="C802" t="s">
        <v>40</v>
      </c>
      <c r="D802" t="s">
        <v>18</v>
      </c>
      <c r="E802" t="s">
        <v>32</v>
      </c>
      <c r="F802" t="s">
        <v>27</v>
      </c>
      <c r="G802" t="s">
        <v>21</v>
      </c>
      <c r="H802" t="s">
        <v>47</v>
      </c>
      <c r="I802" t="s">
        <v>23</v>
      </c>
      <c r="J802" t="s">
        <v>24</v>
      </c>
      <c r="K802" t="s">
        <v>25</v>
      </c>
      <c r="L802">
        <v>1</v>
      </c>
      <c r="M802">
        <v>4</v>
      </c>
      <c r="N802">
        <v>3</v>
      </c>
      <c r="O802">
        <v>5</v>
      </c>
      <c r="P802">
        <v>950.3</v>
      </c>
      <c r="Q802">
        <v>75</v>
      </c>
      <c r="S802">
        <f t="shared" si="48"/>
        <v>557.6865165165168</v>
      </c>
      <c r="T802">
        <f t="shared" si="49"/>
        <v>153</v>
      </c>
      <c r="U802">
        <f t="shared" si="50"/>
        <v>1.9139139139139139</v>
      </c>
      <c r="V802">
        <f t="shared" si="51"/>
        <v>557.6865165165168</v>
      </c>
    </row>
    <row r="803" spans="1:22" x14ac:dyDescent="0.25">
      <c r="A803">
        <v>1293</v>
      </c>
      <c r="B803" s="1">
        <v>44348</v>
      </c>
      <c r="C803" t="s">
        <v>17</v>
      </c>
      <c r="D803" t="s">
        <v>18</v>
      </c>
      <c r="E803" t="s">
        <v>19</v>
      </c>
      <c r="F803" t="s">
        <v>33</v>
      </c>
      <c r="G803" t="s">
        <v>21</v>
      </c>
      <c r="H803" t="s">
        <v>67</v>
      </c>
      <c r="I803" t="s">
        <v>23</v>
      </c>
      <c r="J803" t="s">
        <v>24</v>
      </c>
      <c r="K803" t="s">
        <v>25</v>
      </c>
      <c r="L803">
        <v>2</v>
      </c>
      <c r="M803">
        <v>3</v>
      </c>
      <c r="N803">
        <v>2</v>
      </c>
      <c r="O803">
        <v>2</v>
      </c>
      <c r="P803">
        <v>668.77</v>
      </c>
      <c r="Q803">
        <v>28</v>
      </c>
      <c r="S803">
        <f t="shared" si="48"/>
        <v>557.6865165165168</v>
      </c>
      <c r="T803">
        <f t="shared" si="49"/>
        <v>153</v>
      </c>
      <c r="U803">
        <f t="shared" si="50"/>
        <v>1.9139139139139139</v>
      </c>
      <c r="V803">
        <f t="shared" si="51"/>
        <v>557.6865165165168</v>
      </c>
    </row>
    <row r="804" spans="1:22" x14ac:dyDescent="0.25">
      <c r="A804">
        <v>1294</v>
      </c>
      <c r="B804" s="1">
        <v>45023</v>
      </c>
      <c r="C804" t="s">
        <v>26</v>
      </c>
      <c r="D804" t="s">
        <v>18</v>
      </c>
      <c r="E804" t="s">
        <v>28</v>
      </c>
      <c r="F804" t="s">
        <v>33</v>
      </c>
      <c r="G804" t="s">
        <v>21</v>
      </c>
      <c r="H804" t="s">
        <v>67</v>
      </c>
      <c r="I804" t="s">
        <v>23</v>
      </c>
      <c r="J804" t="s">
        <v>24</v>
      </c>
      <c r="K804" t="s">
        <v>25</v>
      </c>
      <c r="L804">
        <v>5</v>
      </c>
      <c r="M804">
        <v>4</v>
      </c>
      <c r="N804">
        <v>2</v>
      </c>
      <c r="O804">
        <v>3</v>
      </c>
      <c r="P804">
        <v>906.05</v>
      </c>
      <c r="Q804">
        <v>53</v>
      </c>
      <c r="S804">
        <f t="shared" si="48"/>
        <v>557.6865165165168</v>
      </c>
      <c r="T804">
        <f t="shared" si="49"/>
        <v>153</v>
      </c>
      <c r="U804">
        <f t="shared" si="50"/>
        <v>1.9139139139139139</v>
      </c>
      <c r="V804">
        <f t="shared" si="51"/>
        <v>557.6865165165168</v>
      </c>
    </row>
    <row r="805" spans="1:22" x14ac:dyDescent="0.25">
      <c r="A805">
        <v>1295</v>
      </c>
      <c r="B805" s="1">
        <v>44360</v>
      </c>
      <c r="C805" t="s">
        <v>60</v>
      </c>
      <c r="D805" t="s">
        <v>18</v>
      </c>
      <c r="E805" t="s">
        <v>32</v>
      </c>
      <c r="F805" t="s">
        <v>27</v>
      </c>
      <c r="G805" t="s">
        <v>21</v>
      </c>
      <c r="H805" t="s">
        <v>38</v>
      </c>
      <c r="I805" t="s">
        <v>23</v>
      </c>
      <c r="J805" t="s">
        <v>24</v>
      </c>
      <c r="K805" t="s">
        <v>25</v>
      </c>
      <c r="L805">
        <v>3</v>
      </c>
      <c r="M805">
        <v>3</v>
      </c>
      <c r="N805">
        <v>3</v>
      </c>
      <c r="O805">
        <v>5</v>
      </c>
      <c r="P805">
        <v>689.77</v>
      </c>
      <c r="Q805">
        <v>51</v>
      </c>
      <c r="S805">
        <f t="shared" si="48"/>
        <v>557.6865165165168</v>
      </c>
      <c r="T805">
        <f t="shared" si="49"/>
        <v>153</v>
      </c>
      <c r="U805">
        <f t="shared" si="50"/>
        <v>1.9139139139139139</v>
      </c>
      <c r="V805">
        <f t="shared" si="51"/>
        <v>557.6865165165168</v>
      </c>
    </row>
    <row r="806" spans="1:22" x14ac:dyDescent="0.25">
      <c r="A806">
        <v>1296</v>
      </c>
      <c r="B806" s="1">
        <v>43537</v>
      </c>
      <c r="C806" t="s">
        <v>43</v>
      </c>
      <c r="D806" t="s">
        <v>84</v>
      </c>
      <c r="E806" t="s">
        <v>32</v>
      </c>
      <c r="F806" t="s">
        <v>33</v>
      </c>
      <c r="G806" t="s">
        <v>21</v>
      </c>
      <c r="H806" t="s">
        <v>41</v>
      </c>
      <c r="I806" t="s">
        <v>23</v>
      </c>
      <c r="J806" t="s">
        <v>24</v>
      </c>
      <c r="K806" t="s">
        <v>25</v>
      </c>
      <c r="L806">
        <v>1</v>
      </c>
      <c r="M806">
        <v>1</v>
      </c>
      <c r="N806">
        <v>5</v>
      </c>
      <c r="O806">
        <v>2</v>
      </c>
      <c r="P806">
        <v>694.27</v>
      </c>
      <c r="Q806">
        <v>34</v>
      </c>
      <c r="S806">
        <f t="shared" si="48"/>
        <v>557.6865165165168</v>
      </c>
      <c r="T806">
        <f t="shared" si="49"/>
        <v>153</v>
      </c>
      <c r="U806">
        <f t="shared" si="50"/>
        <v>1.9139139139139139</v>
      </c>
      <c r="V806">
        <f t="shared" si="51"/>
        <v>557.6865165165168</v>
      </c>
    </row>
    <row r="807" spans="1:22" x14ac:dyDescent="0.25">
      <c r="A807">
        <v>1297</v>
      </c>
      <c r="B807" s="1">
        <v>43609</v>
      </c>
      <c r="C807" t="s">
        <v>49</v>
      </c>
      <c r="D807" t="s">
        <v>84</v>
      </c>
      <c r="E807" t="s">
        <v>28</v>
      </c>
      <c r="F807" t="s">
        <v>27</v>
      </c>
      <c r="G807" t="s">
        <v>21</v>
      </c>
      <c r="H807" t="s">
        <v>80</v>
      </c>
      <c r="I807" t="s">
        <v>23</v>
      </c>
      <c r="J807" t="s">
        <v>24</v>
      </c>
      <c r="K807" t="s">
        <v>25</v>
      </c>
      <c r="L807">
        <v>2</v>
      </c>
      <c r="M807">
        <v>4</v>
      </c>
      <c r="N807">
        <v>4</v>
      </c>
      <c r="O807">
        <v>3</v>
      </c>
      <c r="P807">
        <v>352.75</v>
      </c>
      <c r="Q807">
        <v>51</v>
      </c>
      <c r="S807">
        <f t="shared" si="48"/>
        <v>557.6865165165168</v>
      </c>
      <c r="T807">
        <f t="shared" si="49"/>
        <v>153</v>
      </c>
      <c r="U807">
        <f t="shared" si="50"/>
        <v>1.9139139139139139</v>
      </c>
      <c r="V807">
        <f t="shared" si="51"/>
        <v>557.6865165165168</v>
      </c>
    </row>
    <row r="808" spans="1:22" x14ac:dyDescent="0.25">
      <c r="A808">
        <v>1298</v>
      </c>
      <c r="B808" s="1">
        <v>44982</v>
      </c>
      <c r="C808" t="s">
        <v>31</v>
      </c>
      <c r="D808" t="s">
        <v>18</v>
      </c>
      <c r="E808" t="s">
        <v>28</v>
      </c>
      <c r="F808" t="s">
        <v>33</v>
      </c>
      <c r="G808" t="s">
        <v>21</v>
      </c>
      <c r="H808" t="s">
        <v>38</v>
      </c>
      <c r="I808" t="s">
        <v>23</v>
      </c>
      <c r="J808" t="s">
        <v>24</v>
      </c>
      <c r="K808" t="s">
        <v>25</v>
      </c>
      <c r="L808">
        <v>1</v>
      </c>
      <c r="M808">
        <v>2</v>
      </c>
      <c r="N808">
        <v>1</v>
      </c>
      <c r="O808">
        <v>3</v>
      </c>
      <c r="P808">
        <v>411.17</v>
      </c>
      <c r="Q808">
        <v>40</v>
      </c>
      <c r="S808">
        <f t="shared" si="48"/>
        <v>557.6865165165168</v>
      </c>
      <c r="T808">
        <f t="shared" si="49"/>
        <v>153</v>
      </c>
      <c r="U808">
        <f t="shared" si="50"/>
        <v>1.9139139139139139</v>
      </c>
      <c r="V808">
        <f t="shared" si="51"/>
        <v>557.6865165165168</v>
      </c>
    </row>
    <row r="809" spans="1:22" x14ac:dyDescent="0.25">
      <c r="A809">
        <v>1299</v>
      </c>
      <c r="B809" s="1">
        <v>43914</v>
      </c>
      <c r="C809" t="s">
        <v>40</v>
      </c>
      <c r="D809" t="s">
        <v>18</v>
      </c>
      <c r="E809" t="s">
        <v>19</v>
      </c>
      <c r="F809" t="s">
        <v>33</v>
      </c>
      <c r="G809" t="s">
        <v>21</v>
      </c>
      <c r="H809" t="s">
        <v>29</v>
      </c>
      <c r="I809" t="s">
        <v>23</v>
      </c>
      <c r="J809" t="s">
        <v>24</v>
      </c>
      <c r="K809" t="s">
        <v>25</v>
      </c>
      <c r="L809">
        <v>1</v>
      </c>
      <c r="M809">
        <v>2</v>
      </c>
      <c r="N809">
        <v>2</v>
      </c>
      <c r="O809">
        <v>3</v>
      </c>
      <c r="P809">
        <v>358.81</v>
      </c>
      <c r="Q809">
        <v>67</v>
      </c>
      <c r="S809">
        <f t="shared" si="48"/>
        <v>557.6865165165168</v>
      </c>
      <c r="T809">
        <f t="shared" si="49"/>
        <v>153</v>
      </c>
      <c r="U809">
        <f t="shared" si="50"/>
        <v>1.9139139139139139</v>
      </c>
      <c r="V809">
        <f t="shared" si="51"/>
        <v>557.6865165165168</v>
      </c>
    </row>
    <row r="810" spans="1:22" x14ac:dyDescent="0.25">
      <c r="A810">
        <v>1300</v>
      </c>
      <c r="B810" s="1">
        <v>44359</v>
      </c>
      <c r="C810" t="s">
        <v>17</v>
      </c>
      <c r="D810" t="s">
        <v>18</v>
      </c>
      <c r="E810" t="s">
        <v>19</v>
      </c>
      <c r="F810" t="s">
        <v>33</v>
      </c>
      <c r="G810" t="s">
        <v>21</v>
      </c>
      <c r="H810" t="s">
        <v>41</v>
      </c>
      <c r="I810" t="s">
        <v>23</v>
      </c>
      <c r="J810" t="s">
        <v>24</v>
      </c>
      <c r="K810" t="s">
        <v>25</v>
      </c>
      <c r="L810">
        <v>1</v>
      </c>
      <c r="M810">
        <v>3</v>
      </c>
      <c r="N810">
        <v>1</v>
      </c>
      <c r="O810">
        <v>4</v>
      </c>
      <c r="P810">
        <v>588.64</v>
      </c>
      <c r="Q810">
        <v>54</v>
      </c>
      <c r="S810">
        <f t="shared" si="48"/>
        <v>557.6865165165168</v>
      </c>
      <c r="T810">
        <f t="shared" si="49"/>
        <v>153</v>
      </c>
      <c r="U810">
        <f t="shared" si="50"/>
        <v>1.9139139139139139</v>
      </c>
      <c r="V810">
        <f t="shared" si="51"/>
        <v>557.6865165165168</v>
      </c>
    </row>
    <row r="811" spans="1:22" x14ac:dyDescent="0.25">
      <c r="A811">
        <v>1301</v>
      </c>
      <c r="B811" s="1">
        <v>43546</v>
      </c>
      <c r="C811" t="s">
        <v>54</v>
      </c>
      <c r="D811" t="s">
        <v>84</v>
      </c>
      <c r="E811" t="s">
        <v>28</v>
      </c>
      <c r="F811" t="s">
        <v>33</v>
      </c>
      <c r="G811" t="s">
        <v>21</v>
      </c>
      <c r="H811" t="s">
        <v>41</v>
      </c>
      <c r="I811" t="s">
        <v>23</v>
      </c>
      <c r="J811" t="s">
        <v>24</v>
      </c>
      <c r="K811" t="s">
        <v>25</v>
      </c>
      <c r="L811">
        <v>1</v>
      </c>
      <c r="M811">
        <v>4</v>
      </c>
      <c r="N811">
        <v>2</v>
      </c>
      <c r="O811">
        <v>1</v>
      </c>
      <c r="P811">
        <v>472.18</v>
      </c>
      <c r="Q811">
        <v>69</v>
      </c>
      <c r="S811">
        <f t="shared" si="48"/>
        <v>557.6865165165168</v>
      </c>
      <c r="T811">
        <f t="shared" si="49"/>
        <v>153</v>
      </c>
      <c r="U811">
        <f t="shared" si="50"/>
        <v>1.9139139139139139</v>
      </c>
      <c r="V811">
        <f t="shared" si="51"/>
        <v>557.6865165165168</v>
      </c>
    </row>
    <row r="812" spans="1:22" x14ac:dyDescent="0.25">
      <c r="A812">
        <v>1302</v>
      </c>
      <c r="B812" s="1">
        <v>44263</v>
      </c>
      <c r="C812" t="s">
        <v>37</v>
      </c>
      <c r="D812" t="s">
        <v>84</v>
      </c>
      <c r="E812" t="s">
        <v>32</v>
      </c>
      <c r="F812" t="s">
        <v>27</v>
      </c>
      <c r="G812" t="s">
        <v>21</v>
      </c>
      <c r="H812" t="s">
        <v>41</v>
      </c>
      <c r="I812" t="s">
        <v>23</v>
      </c>
      <c r="J812" t="s">
        <v>24</v>
      </c>
      <c r="K812" t="s">
        <v>25</v>
      </c>
      <c r="L812">
        <v>1</v>
      </c>
      <c r="M812">
        <v>2</v>
      </c>
      <c r="N812">
        <v>4</v>
      </c>
      <c r="O812">
        <v>2</v>
      </c>
      <c r="P812">
        <v>758.79</v>
      </c>
      <c r="Q812">
        <v>21</v>
      </c>
      <c r="S812">
        <f t="shared" si="48"/>
        <v>557.6865165165168</v>
      </c>
      <c r="T812">
        <f t="shared" si="49"/>
        <v>153</v>
      </c>
      <c r="U812">
        <f t="shared" si="50"/>
        <v>1.9139139139139139</v>
      </c>
      <c r="V812">
        <f t="shared" si="51"/>
        <v>557.6865165165168</v>
      </c>
    </row>
    <row r="813" spans="1:22" x14ac:dyDescent="0.25">
      <c r="A813">
        <v>1303</v>
      </c>
      <c r="B813" s="1">
        <v>43966</v>
      </c>
      <c r="C813" t="s">
        <v>60</v>
      </c>
      <c r="D813" t="s">
        <v>18</v>
      </c>
      <c r="E813" t="s">
        <v>19</v>
      </c>
      <c r="F813" t="s">
        <v>27</v>
      </c>
      <c r="G813" t="s">
        <v>21</v>
      </c>
      <c r="H813" t="s">
        <v>22</v>
      </c>
      <c r="I813" t="s">
        <v>23</v>
      </c>
      <c r="J813" t="s">
        <v>24</v>
      </c>
      <c r="K813" t="s">
        <v>25</v>
      </c>
      <c r="L813">
        <v>5</v>
      </c>
      <c r="M813">
        <v>3</v>
      </c>
      <c r="N813">
        <v>5</v>
      </c>
      <c r="O813">
        <v>3</v>
      </c>
      <c r="P813">
        <v>921.81</v>
      </c>
      <c r="Q813">
        <v>63</v>
      </c>
      <c r="S813">
        <f t="shared" si="48"/>
        <v>557.6865165165168</v>
      </c>
      <c r="T813">
        <f t="shared" si="49"/>
        <v>153</v>
      </c>
      <c r="U813">
        <f t="shared" si="50"/>
        <v>1.9139139139139139</v>
      </c>
      <c r="V813">
        <f t="shared" si="51"/>
        <v>557.6865165165168</v>
      </c>
    </row>
    <row r="814" spans="1:22" x14ac:dyDescent="0.25">
      <c r="A814">
        <v>1304</v>
      </c>
      <c r="B814" s="1">
        <v>44950</v>
      </c>
      <c r="C814" t="s">
        <v>43</v>
      </c>
      <c r="D814" t="s">
        <v>18</v>
      </c>
      <c r="E814" t="s">
        <v>32</v>
      </c>
      <c r="F814" t="s">
        <v>33</v>
      </c>
      <c r="G814" t="s">
        <v>21</v>
      </c>
      <c r="H814" t="s">
        <v>81</v>
      </c>
      <c r="I814" t="s">
        <v>23</v>
      </c>
      <c r="J814" t="s">
        <v>24</v>
      </c>
      <c r="K814" t="s">
        <v>25</v>
      </c>
      <c r="L814">
        <v>3</v>
      </c>
      <c r="M814">
        <v>5</v>
      </c>
      <c r="N814">
        <v>1</v>
      </c>
      <c r="O814">
        <v>3</v>
      </c>
      <c r="P814">
        <v>405.08</v>
      </c>
      <c r="Q814">
        <v>27</v>
      </c>
      <c r="S814">
        <f t="shared" si="48"/>
        <v>557.6865165165168</v>
      </c>
      <c r="T814">
        <f t="shared" si="49"/>
        <v>153</v>
      </c>
      <c r="U814">
        <f t="shared" si="50"/>
        <v>1.9139139139139139</v>
      </c>
      <c r="V814">
        <f t="shared" si="51"/>
        <v>557.6865165165168</v>
      </c>
    </row>
    <row r="815" spans="1:22" x14ac:dyDescent="0.25">
      <c r="A815">
        <v>1305</v>
      </c>
      <c r="B815" s="1">
        <v>44202</v>
      </c>
      <c r="C815" t="s">
        <v>49</v>
      </c>
      <c r="D815" t="s">
        <v>84</v>
      </c>
      <c r="E815" t="s">
        <v>32</v>
      </c>
      <c r="F815" t="s">
        <v>33</v>
      </c>
      <c r="G815" t="s">
        <v>21</v>
      </c>
      <c r="H815" t="s">
        <v>41</v>
      </c>
      <c r="I815" t="s">
        <v>23</v>
      </c>
      <c r="J815" t="s">
        <v>30</v>
      </c>
      <c r="K815" t="s">
        <v>25</v>
      </c>
      <c r="L815">
        <v>2</v>
      </c>
      <c r="M815">
        <v>5</v>
      </c>
      <c r="N815">
        <v>2</v>
      </c>
      <c r="O815">
        <v>3</v>
      </c>
      <c r="P815">
        <v>784.22</v>
      </c>
      <c r="Q815">
        <v>23</v>
      </c>
      <c r="S815">
        <f t="shared" si="48"/>
        <v>557.6865165165168</v>
      </c>
      <c r="T815">
        <f t="shared" si="49"/>
        <v>153</v>
      </c>
      <c r="U815">
        <f t="shared" si="50"/>
        <v>1.9139139139139139</v>
      </c>
      <c r="V815">
        <f t="shared" si="51"/>
        <v>557.6865165165168</v>
      </c>
    </row>
    <row r="816" spans="1:22" x14ac:dyDescent="0.25">
      <c r="A816">
        <v>1306</v>
      </c>
      <c r="B816" s="1">
        <v>44302</v>
      </c>
      <c r="C816" t="s">
        <v>31</v>
      </c>
      <c r="D816" t="s">
        <v>18</v>
      </c>
      <c r="E816" t="s">
        <v>28</v>
      </c>
      <c r="F816" t="s">
        <v>33</v>
      </c>
      <c r="G816" t="s">
        <v>21</v>
      </c>
      <c r="H816" t="s">
        <v>62</v>
      </c>
      <c r="I816" t="s">
        <v>23</v>
      </c>
      <c r="J816" t="s">
        <v>30</v>
      </c>
      <c r="K816" t="s">
        <v>25</v>
      </c>
      <c r="L816">
        <v>1</v>
      </c>
      <c r="M816">
        <v>3</v>
      </c>
      <c r="N816">
        <v>5</v>
      </c>
      <c r="O816">
        <v>4</v>
      </c>
      <c r="P816">
        <v>443.99</v>
      </c>
      <c r="Q816">
        <v>24</v>
      </c>
      <c r="S816">
        <f t="shared" si="48"/>
        <v>557.6865165165168</v>
      </c>
      <c r="T816">
        <f t="shared" si="49"/>
        <v>153</v>
      </c>
      <c r="U816">
        <f t="shared" si="50"/>
        <v>1.9139139139139139</v>
      </c>
      <c r="V816">
        <f t="shared" si="51"/>
        <v>557.6865165165168</v>
      </c>
    </row>
    <row r="817" spans="1:22" x14ac:dyDescent="0.25">
      <c r="A817">
        <v>1307</v>
      </c>
      <c r="B817" s="1">
        <v>44461</v>
      </c>
      <c r="C817" t="s">
        <v>40</v>
      </c>
      <c r="D817" t="s">
        <v>84</v>
      </c>
      <c r="E817" t="s">
        <v>19</v>
      </c>
      <c r="F817" t="s">
        <v>27</v>
      </c>
      <c r="G817" t="s">
        <v>21</v>
      </c>
      <c r="H817" t="s">
        <v>47</v>
      </c>
      <c r="I817" t="s">
        <v>23</v>
      </c>
      <c r="J817" t="s">
        <v>30</v>
      </c>
      <c r="K817" t="s">
        <v>25</v>
      </c>
      <c r="L817">
        <v>1</v>
      </c>
      <c r="M817">
        <v>5</v>
      </c>
      <c r="N817">
        <v>1</v>
      </c>
      <c r="O817">
        <v>3</v>
      </c>
      <c r="P817">
        <v>609.9</v>
      </c>
      <c r="Q817">
        <v>40</v>
      </c>
      <c r="S817">
        <f t="shared" si="48"/>
        <v>557.6865165165168</v>
      </c>
      <c r="T817">
        <f t="shared" si="49"/>
        <v>153</v>
      </c>
      <c r="U817">
        <f t="shared" si="50"/>
        <v>1.9139139139139139</v>
      </c>
      <c r="V817">
        <f t="shared" si="51"/>
        <v>557.6865165165168</v>
      </c>
    </row>
    <row r="818" spans="1:22" x14ac:dyDescent="0.25">
      <c r="A818">
        <v>1308</v>
      </c>
      <c r="B818" s="1">
        <v>44740</v>
      </c>
      <c r="C818" t="s">
        <v>17</v>
      </c>
      <c r="D818" t="s">
        <v>18</v>
      </c>
      <c r="E818" t="s">
        <v>32</v>
      </c>
      <c r="F818" t="s">
        <v>20</v>
      </c>
      <c r="G818" t="s">
        <v>21</v>
      </c>
      <c r="H818" t="s">
        <v>62</v>
      </c>
      <c r="I818" t="s">
        <v>23</v>
      </c>
      <c r="J818" t="s">
        <v>24</v>
      </c>
      <c r="K818" t="s">
        <v>25</v>
      </c>
      <c r="L818">
        <v>4</v>
      </c>
      <c r="M818">
        <v>5</v>
      </c>
      <c r="N818">
        <v>2</v>
      </c>
      <c r="O818">
        <v>5</v>
      </c>
      <c r="P818">
        <v>742.16</v>
      </c>
      <c r="Q818">
        <v>42</v>
      </c>
      <c r="S818">
        <f t="shared" si="48"/>
        <v>557.6865165165168</v>
      </c>
      <c r="T818">
        <f t="shared" si="49"/>
        <v>153</v>
      </c>
      <c r="U818">
        <f t="shared" si="50"/>
        <v>1.9139139139139139</v>
      </c>
      <c r="V818">
        <f t="shared" si="51"/>
        <v>557.6865165165168</v>
      </c>
    </row>
    <row r="819" spans="1:22" x14ac:dyDescent="0.25">
      <c r="A819">
        <v>1309</v>
      </c>
      <c r="B819" s="1">
        <v>44060</v>
      </c>
      <c r="C819" t="s">
        <v>52</v>
      </c>
      <c r="D819" t="s">
        <v>18</v>
      </c>
      <c r="E819" t="s">
        <v>28</v>
      </c>
      <c r="F819" t="s">
        <v>20</v>
      </c>
      <c r="G819" t="s">
        <v>21</v>
      </c>
      <c r="H819" t="s">
        <v>41</v>
      </c>
      <c r="I819" t="s">
        <v>23</v>
      </c>
      <c r="J819" t="s">
        <v>24</v>
      </c>
      <c r="K819" t="s">
        <v>25</v>
      </c>
      <c r="L819">
        <v>1</v>
      </c>
      <c r="M819">
        <v>1</v>
      </c>
      <c r="N819">
        <v>3</v>
      </c>
      <c r="O819">
        <v>3</v>
      </c>
      <c r="P819">
        <v>517.74</v>
      </c>
      <c r="Q819">
        <v>40</v>
      </c>
      <c r="S819">
        <f t="shared" si="48"/>
        <v>557.6865165165168</v>
      </c>
      <c r="T819">
        <f t="shared" si="49"/>
        <v>153</v>
      </c>
      <c r="U819">
        <f t="shared" si="50"/>
        <v>1.9139139139139139</v>
      </c>
      <c r="V819">
        <f t="shared" si="51"/>
        <v>557.6865165165168</v>
      </c>
    </row>
    <row r="820" spans="1:22" x14ac:dyDescent="0.25">
      <c r="A820">
        <v>1310</v>
      </c>
      <c r="B820" s="1">
        <v>45019</v>
      </c>
      <c r="C820" t="s">
        <v>26</v>
      </c>
      <c r="D820" t="s">
        <v>18</v>
      </c>
      <c r="E820" t="s">
        <v>28</v>
      </c>
      <c r="F820" t="s">
        <v>33</v>
      </c>
      <c r="G820" t="s">
        <v>21</v>
      </c>
      <c r="H820" t="s">
        <v>38</v>
      </c>
      <c r="I820" t="s">
        <v>23</v>
      </c>
      <c r="J820" t="s">
        <v>24</v>
      </c>
      <c r="K820" t="s">
        <v>25</v>
      </c>
      <c r="L820">
        <v>3</v>
      </c>
      <c r="M820">
        <v>4</v>
      </c>
      <c r="N820">
        <v>3</v>
      </c>
      <c r="O820">
        <v>4</v>
      </c>
      <c r="P820">
        <v>350.59</v>
      </c>
      <c r="Q820">
        <v>35</v>
      </c>
      <c r="S820">
        <f t="shared" si="48"/>
        <v>557.6865165165168</v>
      </c>
      <c r="T820">
        <f t="shared" si="49"/>
        <v>153</v>
      </c>
      <c r="U820">
        <f t="shared" si="50"/>
        <v>1.9139139139139139</v>
      </c>
      <c r="V820">
        <f t="shared" si="51"/>
        <v>557.6865165165168</v>
      </c>
    </row>
    <row r="821" spans="1:22" x14ac:dyDescent="0.25">
      <c r="A821">
        <v>1311</v>
      </c>
      <c r="B821" s="1">
        <v>45072</v>
      </c>
      <c r="C821" t="s">
        <v>54</v>
      </c>
      <c r="D821" t="s">
        <v>18</v>
      </c>
      <c r="E821" t="s">
        <v>32</v>
      </c>
      <c r="F821" t="s">
        <v>20</v>
      </c>
      <c r="G821" t="s">
        <v>21</v>
      </c>
      <c r="H821" t="s">
        <v>47</v>
      </c>
      <c r="I821" t="s">
        <v>23</v>
      </c>
      <c r="J821" t="s">
        <v>30</v>
      </c>
      <c r="K821" t="s">
        <v>25</v>
      </c>
      <c r="L821">
        <v>5</v>
      </c>
      <c r="M821">
        <v>2</v>
      </c>
      <c r="N821">
        <v>3</v>
      </c>
      <c r="O821">
        <v>1</v>
      </c>
      <c r="P821">
        <v>546.94000000000005</v>
      </c>
      <c r="Q821">
        <v>36</v>
      </c>
      <c r="S821">
        <f t="shared" si="48"/>
        <v>557.6865165165168</v>
      </c>
      <c r="T821">
        <f t="shared" si="49"/>
        <v>153</v>
      </c>
      <c r="U821">
        <f t="shared" si="50"/>
        <v>1.9139139139139139</v>
      </c>
      <c r="V821">
        <f t="shared" si="51"/>
        <v>557.6865165165168</v>
      </c>
    </row>
    <row r="822" spans="1:22" x14ac:dyDescent="0.25">
      <c r="A822">
        <v>1312</v>
      </c>
      <c r="B822" s="1">
        <v>44296</v>
      </c>
      <c r="C822" t="s">
        <v>37</v>
      </c>
      <c r="D822" t="s">
        <v>18</v>
      </c>
      <c r="E822" t="s">
        <v>32</v>
      </c>
      <c r="F822" t="s">
        <v>33</v>
      </c>
      <c r="G822" t="s">
        <v>21</v>
      </c>
      <c r="H822" t="s">
        <v>44</v>
      </c>
      <c r="I822" t="s">
        <v>23</v>
      </c>
      <c r="J822" t="s">
        <v>24</v>
      </c>
      <c r="K822" t="s">
        <v>25</v>
      </c>
      <c r="L822">
        <v>2</v>
      </c>
      <c r="M822">
        <v>5</v>
      </c>
      <c r="N822">
        <v>2</v>
      </c>
      <c r="O822">
        <v>4</v>
      </c>
      <c r="P822">
        <v>514.37</v>
      </c>
      <c r="Q822">
        <v>24</v>
      </c>
      <c r="S822">
        <f t="shared" si="48"/>
        <v>557.6865165165168</v>
      </c>
      <c r="T822">
        <f t="shared" si="49"/>
        <v>153</v>
      </c>
      <c r="U822">
        <f t="shared" si="50"/>
        <v>1.9139139139139139</v>
      </c>
      <c r="V822">
        <f t="shared" si="51"/>
        <v>557.6865165165168</v>
      </c>
    </row>
    <row r="823" spans="1:22" x14ac:dyDescent="0.25">
      <c r="A823">
        <v>1313</v>
      </c>
      <c r="B823" s="1">
        <v>45034</v>
      </c>
      <c r="C823" t="s">
        <v>60</v>
      </c>
      <c r="D823" t="s">
        <v>18</v>
      </c>
      <c r="E823" t="s">
        <v>19</v>
      </c>
      <c r="F823" t="s">
        <v>20</v>
      </c>
      <c r="G823" t="s">
        <v>21</v>
      </c>
      <c r="H823" t="s">
        <v>41</v>
      </c>
      <c r="I823" t="s">
        <v>23</v>
      </c>
      <c r="J823" t="s">
        <v>24</v>
      </c>
      <c r="K823" t="s">
        <v>25</v>
      </c>
      <c r="L823">
        <v>5</v>
      </c>
      <c r="M823">
        <v>4</v>
      </c>
      <c r="N823">
        <v>1</v>
      </c>
      <c r="O823">
        <v>5</v>
      </c>
      <c r="P823">
        <v>786.98</v>
      </c>
      <c r="Q823">
        <v>66</v>
      </c>
      <c r="S823">
        <f t="shared" si="48"/>
        <v>557.6865165165168</v>
      </c>
      <c r="T823">
        <f t="shared" si="49"/>
        <v>153</v>
      </c>
      <c r="U823">
        <f t="shared" si="50"/>
        <v>1.9139139139139139</v>
      </c>
      <c r="V823">
        <f t="shared" si="51"/>
        <v>557.6865165165168</v>
      </c>
    </row>
    <row r="824" spans="1:22" x14ac:dyDescent="0.25">
      <c r="A824">
        <v>1314</v>
      </c>
      <c r="B824" s="1">
        <v>44482</v>
      </c>
      <c r="C824" t="s">
        <v>43</v>
      </c>
      <c r="D824" t="s">
        <v>18</v>
      </c>
      <c r="E824" t="s">
        <v>19</v>
      </c>
      <c r="F824" t="s">
        <v>20</v>
      </c>
      <c r="G824" t="s">
        <v>21</v>
      </c>
      <c r="H824" t="s">
        <v>38</v>
      </c>
      <c r="I824" t="s">
        <v>23</v>
      </c>
      <c r="J824" t="s">
        <v>24</v>
      </c>
      <c r="K824" t="s">
        <v>25</v>
      </c>
      <c r="L824">
        <v>5</v>
      </c>
      <c r="M824">
        <v>5</v>
      </c>
      <c r="N824">
        <v>3</v>
      </c>
      <c r="O824">
        <v>4</v>
      </c>
      <c r="P824">
        <v>852.21</v>
      </c>
      <c r="Q824">
        <v>25</v>
      </c>
      <c r="S824">
        <f t="shared" si="48"/>
        <v>557.6865165165168</v>
      </c>
      <c r="T824">
        <f t="shared" si="49"/>
        <v>153</v>
      </c>
      <c r="U824">
        <f t="shared" si="50"/>
        <v>1.9139139139139139</v>
      </c>
      <c r="V824">
        <f t="shared" si="51"/>
        <v>557.6865165165168</v>
      </c>
    </row>
    <row r="825" spans="1:22" x14ac:dyDescent="0.25">
      <c r="A825">
        <v>1315</v>
      </c>
      <c r="B825" s="1">
        <v>44114</v>
      </c>
      <c r="C825" t="s">
        <v>49</v>
      </c>
      <c r="D825" t="s">
        <v>18</v>
      </c>
      <c r="E825" t="s">
        <v>28</v>
      </c>
      <c r="F825" t="s">
        <v>27</v>
      </c>
      <c r="G825" t="s">
        <v>79</v>
      </c>
      <c r="H825" t="s">
        <v>56</v>
      </c>
      <c r="I825" t="s">
        <v>23</v>
      </c>
      <c r="J825" t="s">
        <v>24</v>
      </c>
      <c r="K825" t="s">
        <v>25</v>
      </c>
      <c r="L825">
        <v>5</v>
      </c>
      <c r="M825">
        <v>1</v>
      </c>
      <c r="N825">
        <v>1</v>
      </c>
      <c r="O825">
        <v>4</v>
      </c>
      <c r="P825">
        <v>761.63</v>
      </c>
      <c r="Q825">
        <v>64</v>
      </c>
      <c r="S825">
        <f t="shared" si="48"/>
        <v>557.6865165165168</v>
      </c>
      <c r="T825">
        <f t="shared" si="49"/>
        <v>153</v>
      </c>
      <c r="U825">
        <f t="shared" si="50"/>
        <v>1.9139139139139139</v>
      </c>
      <c r="V825">
        <f t="shared" si="51"/>
        <v>557.6865165165168</v>
      </c>
    </row>
    <row r="826" spans="1:22" x14ac:dyDescent="0.25">
      <c r="A826">
        <v>1316</v>
      </c>
      <c r="B826" s="1">
        <v>43485</v>
      </c>
      <c r="C826" t="s">
        <v>17</v>
      </c>
      <c r="D826" t="s">
        <v>18</v>
      </c>
      <c r="E826" t="s">
        <v>28</v>
      </c>
      <c r="F826" t="s">
        <v>27</v>
      </c>
      <c r="G826" t="s">
        <v>76</v>
      </c>
      <c r="H826" t="s">
        <v>29</v>
      </c>
      <c r="I826" t="s">
        <v>23</v>
      </c>
      <c r="J826" t="s">
        <v>24</v>
      </c>
      <c r="K826" t="s">
        <v>25</v>
      </c>
      <c r="L826">
        <v>3</v>
      </c>
      <c r="M826">
        <v>4</v>
      </c>
      <c r="N826">
        <v>3</v>
      </c>
      <c r="O826">
        <v>5</v>
      </c>
      <c r="P826">
        <v>202.62</v>
      </c>
      <c r="Q826">
        <v>64</v>
      </c>
      <c r="S826">
        <f t="shared" si="48"/>
        <v>557.6865165165168</v>
      </c>
      <c r="T826">
        <f t="shared" si="49"/>
        <v>153</v>
      </c>
      <c r="U826">
        <f t="shared" si="50"/>
        <v>1.9139139139139139</v>
      </c>
      <c r="V826">
        <f t="shared" si="51"/>
        <v>557.6865165165168</v>
      </c>
    </row>
    <row r="827" spans="1:22" x14ac:dyDescent="0.25">
      <c r="A827">
        <v>1317</v>
      </c>
      <c r="B827" s="1">
        <v>44325</v>
      </c>
      <c r="C827" t="s">
        <v>54</v>
      </c>
      <c r="D827" t="s">
        <v>18</v>
      </c>
      <c r="E827" t="s">
        <v>32</v>
      </c>
      <c r="F827" t="s">
        <v>27</v>
      </c>
      <c r="G827" t="s">
        <v>79</v>
      </c>
      <c r="H827" t="s">
        <v>29</v>
      </c>
      <c r="I827" t="s">
        <v>23</v>
      </c>
      <c r="J827" t="s">
        <v>24</v>
      </c>
      <c r="K827" t="s">
        <v>25</v>
      </c>
      <c r="L827">
        <v>4</v>
      </c>
      <c r="M827">
        <v>2</v>
      </c>
      <c r="N827">
        <v>2</v>
      </c>
      <c r="O827">
        <v>5</v>
      </c>
      <c r="P827">
        <v>414.75</v>
      </c>
      <c r="Q827">
        <v>71</v>
      </c>
      <c r="S827">
        <f t="shared" si="48"/>
        <v>557.6865165165168</v>
      </c>
      <c r="T827">
        <f t="shared" si="49"/>
        <v>153</v>
      </c>
      <c r="U827">
        <f t="shared" si="50"/>
        <v>1.9139139139139139</v>
      </c>
      <c r="V827">
        <f t="shared" si="51"/>
        <v>557.6865165165168</v>
      </c>
    </row>
    <row r="828" spans="1:22" x14ac:dyDescent="0.25">
      <c r="A828">
        <v>1318</v>
      </c>
      <c r="B828" s="1">
        <v>45136</v>
      </c>
      <c r="C828" t="s">
        <v>43</v>
      </c>
      <c r="D828" t="s">
        <v>18</v>
      </c>
      <c r="E828" t="s">
        <v>19</v>
      </c>
      <c r="F828" t="s">
        <v>33</v>
      </c>
      <c r="G828" t="s">
        <v>79</v>
      </c>
      <c r="H828" t="s">
        <v>41</v>
      </c>
      <c r="I828" t="s">
        <v>23</v>
      </c>
      <c r="J828" t="s">
        <v>24</v>
      </c>
      <c r="K828" t="s">
        <v>25</v>
      </c>
      <c r="L828">
        <v>5</v>
      </c>
      <c r="M828">
        <v>4</v>
      </c>
      <c r="N828">
        <v>2</v>
      </c>
      <c r="O828">
        <v>4</v>
      </c>
      <c r="P828">
        <v>344.55</v>
      </c>
      <c r="Q828">
        <v>39</v>
      </c>
      <c r="S828">
        <f t="shared" si="48"/>
        <v>557.6865165165168</v>
      </c>
      <c r="T828">
        <f t="shared" si="49"/>
        <v>153</v>
      </c>
      <c r="U828">
        <f t="shared" si="50"/>
        <v>1.9139139139139139</v>
      </c>
      <c r="V828">
        <f t="shared" si="51"/>
        <v>557.6865165165168</v>
      </c>
    </row>
    <row r="829" spans="1:22" x14ac:dyDescent="0.25">
      <c r="A829">
        <v>1319</v>
      </c>
      <c r="B829" s="1">
        <v>43701</v>
      </c>
      <c r="C829" t="s">
        <v>26</v>
      </c>
      <c r="D829" t="s">
        <v>18</v>
      </c>
      <c r="E829" t="s">
        <v>28</v>
      </c>
      <c r="F829" t="s">
        <v>20</v>
      </c>
      <c r="G829" t="s">
        <v>79</v>
      </c>
      <c r="H829" t="s">
        <v>22</v>
      </c>
      <c r="I829" t="s">
        <v>23</v>
      </c>
      <c r="J829" t="s">
        <v>30</v>
      </c>
      <c r="K829" t="s">
        <v>25</v>
      </c>
      <c r="L829">
        <v>4</v>
      </c>
      <c r="M829">
        <v>2</v>
      </c>
      <c r="N829">
        <v>5</v>
      </c>
      <c r="O829">
        <v>1</v>
      </c>
      <c r="P829">
        <v>777.46</v>
      </c>
      <c r="Q829">
        <v>55</v>
      </c>
      <c r="S829">
        <f t="shared" si="48"/>
        <v>557.6865165165168</v>
      </c>
      <c r="T829">
        <f t="shared" si="49"/>
        <v>153</v>
      </c>
      <c r="U829">
        <f t="shared" si="50"/>
        <v>1.9139139139139139</v>
      </c>
      <c r="V829">
        <f t="shared" si="51"/>
        <v>557.6865165165168</v>
      </c>
    </row>
    <row r="830" spans="1:22" x14ac:dyDescent="0.25">
      <c r="A830">
        <v>1320</v>
      </c>
      <c r="B830" s="1">
        <v>43459</v>
      </c>
      <c r="C830" t="s">
        <v>43</v>
      </c>
      <c r="D830" t="s">
        <v>18</v>
      </c>
      <c r="E830" t="s">
        <v>28</v>
      </c>
      <c r="F830" t="s">
        <v>33</v>
      </c>
      <c r="G830" t="s">
        <v>79</v>
      </c>
      <c r="H830" t="s">
        <v>67</v>
      </c>
      <c r="I830" t="s">
        <v>23</v>
      </c>
      <c r="J830" t="s">
        <v>24</v>
      </c>
      <c r="K830" t="s">
        <v>25</v>
      </c>
      <c r="L830">
        <v>5</v>
      </c>
      <c r="M830">
        <v>1</v>
      </c>
      <c r="N830">
        <v>5</v>
      </c>
      <c r="O830">
        <v>3</v>
      </c>
      <c r="P830">
        <v>948.71</v>
      </c>
      <c r="Q830">
        <v>35</v>
      </c>
      <c r="S830">
        <f t="shared" si="48"/>
        <v>557.6865165165168</v>
      </c>
      <c r="T830">
        <f t="shared" si="49"/>
        <v>153</v>
      </c>
      <c r="U830">
        <f t="shared" si="50"/>
        <v>1.9139139139139139</v>
      </c>
      <c r="V830">
        <f t="shared" si="51"/>
        <v>557.6865165165168</v>
      </c>
    </row>
    <row r="831" spans="1:22" x14ac:dyDescent="0.25">
      <c r="A831">
        <v>1321</v>
      </c>
      <c r="B831" s="1">
        <v>44343</v>
      </c>
      <c r="C831" t="s">
        <v>37</v>
      </c>
      <c r="D831" t="s">
        <v>18</v>
      </c>
      <c r="E831" t="s">
        <v>19</v>
      </c>
      <c r="F831" t="s">
        <v>27</v>
      </c>
      <c r="G831" t="s">
        <v>79</v>
      </c>
      <c r="H831" t="s">
        <v>62</v>
      </c>
      <c r="I831" t="s">
        <v>23</v>
      </c>
      <c r="J831" t="s">
        <v>30</v>
      </c>
      <c r="K831" t="s">
        <v>25</v>
      </c>
      <c r="L831">
        <v>1</v>
      </c>
      <c r="M831">
        <v>5</v>
      </c>
      <c r="N831">
        <v>5</v>
      </c>
      <c r="O831">
        <v>5</v>
      </c>
      <c r="P831">
        <v>308.77</v>
      </c>
      <c r="Q831">
        <v>63</v>
      </c>
      <c r="S831">
        <f t="shared" si="48"/>
        <v>557.6865165165168</v>
      </c>
      <c r="T831">
        <f t="shared" si="49"/>
        <v>153</v>
      </c>
      <c r="U831">
        <f t="shared" si="50"/>
        <v>1.9139139139139139</v>
      </c>
      <c r="V831">
        <f t="shared" si="51"/>
        <v>557.6865165165168</v>
      </c>
    </row>
    <row r="832" spans="1:22" x14ac:dyDescent="0.25">
      <c r="A832">
        <v>1322</v>
      </c>
      <c r="B832" s="1">
        <v>44959</v>
      </c>
      <c r="C832" t="s">
        <v>37</v>
      </c>
      <c r="D832" t="s">
        <v>18</v>
      </c>
      <c r="E832" t="s">
        <v>32</v>
      </c>
      <c r="F832" t="s">
        <v>33</v>
      </c>
      <c r="G832" t="s">
        <v>79</v>
      </c>
      <c r="H832" t="s">
        <v>50</v>
      </c>
      <c r="I832" t="s">
        <v>23</v>
      </c>
      <c r="J832" t="s">
        <v>24</v>
      </c>
      <c r="K832" t="s">
        <v>25</v>
      </c>
      <c r="L832">
        <v>1</v>
      </c>
      <c r="M832">
        <v>5</v>
      </c>
      <c r="N832">
        <v>2</v>
      </c>
      <c r="O832">
        <v>1</v>
      </c>
      <c r="P832">
        <v>891.25</v>
      </c>
      <c r="Q832">
        <v>38</v>
      </c>
      <c r="S832">
        <f t="shared" si="48"/>
        <v>557.6865165165168</v>
      </c>
      <c r="T832">
        <f t="shared" si="49"/>
        <v>153</v>
      </c>
      <c r="U832">
        <f t="shared" si="50"/>
        <v>1.9139139139139139</v>
      </c>
      <c r="V832">
        <f t="shared" si="51"/>
        <v>557.6865165165168</v>
      </c>
    </row>
    <row r="833" spans="1:22" x14ac:dyDescent="0.25">
      <c r="A833">
        <v>1323</v>
      </c>
      <c r="B833" s="1">
        <v>44901</v>
      </c>
      <c r="C833" t="s">
        <v>31</v>
      </c>
      <c r="D833" t="s">
        <v>18</v>
      </c>
      <c r="E833" t="s">
        <v>32</v>
      </c>
      <c r="F833" t="s">
        <v>33</v>
      </c>
      <c r="G833" t="s">
        <v>79</v>
      </c>
      <c r="H833" t="s">
        <v>29</v>
      </c>
      <c r="I833" t="s">
        <v>23</v>
      </c>
      <c r="J833" t="s">
        <v>24</v>
      </c>
      <c r="K833" t="s">
        <v>25</v>
      </c>
      <c r="L833">
        <v>5</v>
      </c>
      <c r="M833">
        <v>1</v>
      </c>
      <c r="N833">
        <v>5</v>
      </c>
      <c r="O833">
        <v>2</v>
      </c>
      <c r="P833">
        <v>659.9</v>
      </c>
      <c r="Q833">
        <v>69</v>
      </c>
      <c r="S833">
        <f t="shared" si="48"/>
        <v>557.6865165165168</v>
      </c>
      <c r="T833">
        <f t="shared" si="49"/>
        <v>153</v>
      </c>
      <c r="U833">
        <f t="shared" si="50"/>
        <v>1.9139139139139139</v>
      </c>
      <c r="V833">
        <f t="shared" si="51"/>
        <v>557.6865165165168</v>
      </c>
    </row>
    <row r="834" spans="1:22" x14ac:dyDescent="0.25">
      <c r="A834">
        <v>1324</v>
      </c>
      <c r="B834" s="1">
        <v>44400</v>
      </c>
      <c r="C834" t="s">
        <v>54</v>
      </c>
      <c r="D834" t="s">
        <v>18</v>
      </c>
      <c r="E834" t="s">
        <v>28</v>
      </c>
      <c r="F834" t="s">
        <v>27</v>
      </c>
      <c r="G834" t="s">
        <v>79</v>
      </c>
      <c r="H834" t="s">
        <v>38</v>
      </c>
      <c r="I834" t="s">
        <v>23</v>
      </c>
      <c r="J834" t="s">
        <v>24</v>
      </c>
      <c r="K834" t="s">
        <v>25</v>
      </c>
      <c r="L834">
        <v>5</v>
      </c>
      <c r="M834">
        <v>3</v>
      </c>
      <c r="N834">
        <v>3</v>
      </c>
      <c r="O834">
        <v>2</v>
      </c>
      <c r="P834">
        <v>858.72</v>
      </c>
      <c r="Q834">
        <v>35</v>
      </c>
      <c r="S834">
        <f t="shared" ref="S834:S897" si="52">AVERAGE(P:P)-1</f>
        <v>557.6865165165168</v>
      </c>
      <c r="T834">
        <f t="shared" ref="T834:T897" si="53">COUNTIF(D:D,"Inactive")</f>
        <v>153</v>
      </c>
      <c r="U834">
        <f t="shared" ref="U834:U897" si="54">AVERAGE(L:L)-1</f>
        <v>1.9139139139139139</v>
      </c>
      <c r="V834">
        <f t="shared" ref="V834:V897" si="55">AVERAGE(P:P)-1</f>
        <v>557.6865165165168</v>
      </c>
    </row>
    <row r="835" spans="1:22" x14ac:dyDescent="0.25">
      <c r="A835">
        <v>1325</v>
      </c>
      <c r="B835" s="1">
        <v>43785</v>
      </c>
      <c r="C835" t="s">
        <v>37</v>
      </c>
      <c r="D835" t="s">
        <v>18</v>
      </c>
      <c r="E835" t="s">
        <v>19</v>
      </c>
      <c r="F835" t="s">
        <v>33</v>
      </c>
      <c r="G835" t="s">
        <v>79</v>
      </c>
      <c r="H835" t="s">
        <v>47</v>
      </c>
      <c r="I835" t="s">
        <v>23</v>
      </c>
      <c r="J835" t="s">
        <v>24</v>
      </c>
      <c r="K835" t="s">
        <v>25</v>
      </c>
      <c r="L835">
        <v>1</v>
      </c>
      <c r="M835">
        <v>5</v>
      </c>
      <c r="N835">
        <v>3</v>
      </c>
      <c r="O835">
        <v>5</v>
      </c>
      <c r="P835">
        <v>380.24</v>
      </c>
      <c r="Q835">
        <v>37</v>
      </c>
      <c r="S835">
        <f t="shared" si="52"/>
        <v>557.6865165165168</v>
      </c>
      <c r="T835">
        <f t="shared" si="53"/>
        <v>153</v>
      </c>
      <c r="U835">
        <f t="shared" si="54"/>
        <v>1.9139139139139139</v>
      </c>
      <c r="V835">
        <f t="shared" si="55"/>
        <v>557.6865165165168</v>
      </c>
    </row>
    <row r="836" spans="1:22" x14ac:dyDescent="0.25">
      <c r="A836">
        <v>1326</v>
      </c>
      <c r="B836" s="1">
        <v>43898</v>
      </c>
      <c r="C836" t="s">
        <v>60</v>
      </c>
      <c r="D836" t="s">
        <v>18</v>
      </c>
      <c r="E836" t="s">
        <v>32</v>
      </c>
      <c r="F836" t="s">
        <v>27</v>
      </c>
      <c r="G836" t="s">
        <v>79</v>
      </c>
      <c r="H836" t="s">
        <v>44</v>
      </c>
      <c r="I836" t="s">
        <v>23</v>
      </c>
      <c r="J836" t="s">
        <v>30</v>
      </c>
      <c r="K836" t="s">
        <v>25</v>
      </c>
      <c r="L836">
        <v>5</v>
      </c>
      <c r="M836">
        <v>3</v>
      </c>
      <c r="N836">
        <v>1</v>
      </c>
      <c r="O836">
        <v>5</v>
      </c>
      <c r="P836">
        <v>505.4</v>
      </c>
      <c r="Q836">
        <v>43</v>
      </c>
      <c r="S836">
        <f t="shared" si="52"/>
        <v>557.6865165165168</v>
      </c>
      <c r="T836">
        <f t="shared" si="53"/>
        <v>153</v>
      </c>
      <c r="U836">
        <f t="shared" si="54"/>
        <v>1.9139139139139139</v>
      </c>
      <c r="V836">
        <f t="shared" si="55"/>
        <v>557.6865165165168</v>
      </c>
    </row>
    <row r="837" spans="1:22" x14ac:dyDescent="0.25">
      <c r="A837">
        <v>1327</v>
      </c>
      <c r="B837" s="1">
        <v>43479</v>
      </c>
      <c r="C837" t="s">
        <v>43</v>
      </c>
      <c r="D837" t="s">
        <v>18</v>
      </c>
      <c r="E837" t="s">
        <v>28</v>
      </c>
      <c r="F837" t="s">
        <v>33</v>
      </c>
      <c r="G837" t="s">
        <v>79</v>
      </c>
      <c r="H837" t="s">
        <v>47</v>
      </c>
      <c r="I837" t="s">
        <v>23</v>
      </c>
      <c r="J837" t="s">
        <v>30</v>
      </c>
      <c r="K837" t="s">
        <v>25</v>
      </c>
      <c r="L837">
        <v>5</v>
      </c>
      <c r="M837">
        <v>3</v>
      </c>
      <c r="N837">
        <v>4</v>
      </c>
      <c r="O837">
        <v>3</v>
      </c>
      <c r="P837">
        <v>609.01</v>
      </c>
      <c r="Q837">
        <v>59</v>
      </c>
      <c r="S837">
        <f t="shared" si="52"/>
        <v>557.6865165165168</v>
      </c>
      <c r="T837">
        <f t="shared" si="53"/>
        <v>153</v>
      </c>
      <c r="U837">
        <f t="shared" si="54"/>
        <v>1.9139139139139139</v>
      </c>
      <c r="V837">
        <f t="shared" si="55"/>
        <v>557.6865165165168</v>
      </c>
    </row>
    <row r="838" spans="1:22" x14ac:dyDescent="0.25">
      <c r="A838">
        <v>1328</v>
      </c>
      <c r="B838" s="1">
        <v>43890</v>
      </c>
      <c r="C838" t="s">
        <v>49</v>
      </c>
      <c r="D838" t="s">
        <v>18</v>
      </c>
      <c r="E838" t="s">
        <v>28</v>
      </c>
      <c r="F838" t="s">
        <v>20</v>
      </c>
      <c r="G838" t="s">
        <v>61</v>
      </c>
      <c r="H838" t="s">
        <v>50</v>
      </c>
      <c r="I838" t="s">
        <v>23</v>
      </c>
      <c r="J838" t="s">
        <v>30</v>
      </c>
      <c r="K838" t="s">
        <v>25</v>
      </c>
      <c r="L838">
        <v>1</v>
      </c>
      <c r="M838">
        <v>4</v>
      </c>
      <c r="N838">
        <v>3</v>
      </c>
      <c r="O838">
        <v>3</v>
      </c>
      <c r="P838">
        <v>656.38</v>
      </c>
      <c r="Q838">
        <v>45</v>
      </c>
      <c r="S838">
        <f t="shared" si="52"/>
        <v>557.6865165165168</v>
      </c>
      <c r="T838">
        <f t="shared" si="53"/>
        <v>153</v>
      </c>
      <c r="U838">
        <f t="shared" si="54"/>
        <v>1.9139139139139139</v>
      </c>
      <c r="V838">
        <f t="shared" si="55"/>
        <v>557.6865165165168</v>
      </c>
    </row>
    <row r="839" spans="1:22" x14ac:dyDescent="0.25">
      <c r="A839">
        <v>1329</v>
      </c>
      <c r="B839" s="1">
        <v>44890</v>
      </c>
      <c r="C839" t="s">
        <v>31</v>
      </c>
      <c r="D839" t="s">
        <v>18</v>
      </c>
      <c r="E839" t="s">
        <v>19</v>
      </c>
      <c r="F839" t="s">
        <v>33</v>
      </c>
      <c r="G839" t="s">
        <v>78</v>
      </c>
      <c r="H839" t="s">
        <v>41</v>
      </c>
      <c r="I839" t="s">
        <v>23</v>
      </c>
      <c r="J839" t="s">
        <v>30</v>
      </c>
      <c r="K839" t="s">
        <v>25</v>
      </c>
      <c r="L839">
        <v>3</v>
      </c>
      <c r="M839">
        <v>2</v>
      </c>
      <c r="N839">
        <v>5</v>
      </c>
      <c r="O839">
        <v>5</v>
      </c>
      <c r="P839">
        <v>692.63</v>
      </c>
      <c r="Q839">
        <v>64</v>
      </c>
      <c r="S839">
        <f t="shared" si="52"/>
        <v>557.6865165165168</v>
      </c>
      <c r="T839">
        <f t="shared" si="53"/>
        <v>153</v>
      </c>
      <c r="U839">
        <f t="shared" si="54"/>
        <v>1.9139139139139139</v>
      </c>
      <c r="V839">
        <f t="shared" si="55"/>
        <v>557.6865165165168</v>
      </c>
    </row>
    <row r="840" spans="1:22" x14ac:dyDescent="0.25">
      <c r="A840">
        <v>1330</v>
      </c>
      <c r="B840" s="1">
        <v>44819</v>
      </c>
      <c r="C840" t="s">
        <v>54</v>
      </c>
      <c r="D840" t="s">
        <v>18</v>
      </c>
      <c r="E840" t="s">
        <v>32</v>
      </c>
      <c r="F840" t="s">
        <v>27</v>
      </c>
      <c r="G840" t="s">
        <v>79</v>
      </c>
      <c r="H840" t="s">
        <v>38</v>
      </c>
      <c r="I840" t="s">
        <v>23</v>
      </c>
      <c r="J840" t="s">
        <v>24</v>
      </c>
      <c r="K840" t="s">
        <v>25</v>
      </c>
      <c r="L840">
        <v>3</v>
      </c>
      <c r="M840">
        <v>5</v>
      </c>
      <c r="N840">
        <v>2</v>
      </c>
      <c r="O840">
        <v>3</v>
      </c>
      <c r="P840">
        <v>633.72</v>
      </c>
      <c r="Q840">
        <v>32</v>
      </c>
      <c r="S840">
        <f t="shared" si="52"/>
        <v>557.6865165165168</v>
      </c>
      <c r="T840">
        <f t="shared" si="53"/>
        <v>153</v>
      </c>
      <c r="U840">
        <f t="shared" si="54"/>
        <v>1.9139139139139139</v>
      </c>
      <c r="V840">
        <f t="shared" si="55"/>
        <v>557.6865165165168</v>
      </c>
    </row>
    <row r="841" spans="1:22" x14ac:dyDescent="0.25">
      <c r="A841">
        <v>1331</v>
      </c>
      <c r="B841" s="1">
        <v>44419</v>
      </c>
      <c r="C841" t="s">
        <v>37</v>
      </c>
      <c r="D841" t="s">
        <v>18</v>
      </c>
      <c r="E841" t="s">
        <v>32</v>
      </c>
      <c r="F841" t="s">
        <v>20</v>
      </c>
      <c r="G841" t="s">
        <v>79</v>
      </c>
      <c r="H841" t="s">
        <v>70</v>
      </c>
      <c r="I841" t="s">
        <v>23</v>
      </c>
      <c r="J841" t="s">
        <v>24</v>
      </c>
      <c r="K841" t="s">
        <v>25</v>
      </c>
      <c r="L841">
        <v>3</v>
      </c>
      <c r="M841">
        <v>2</v>
      </c>
      <c r="N841">
        <v>5</v>
      </c>
      <c r="O841">
        <v>2</v>
      </c>
      <c r="P841">
        <v>517.62</v>
      </c>
      <c r="Q841">
        <v>75</v>
      </c>
      <c r="S841">
        <f t="shared" si="52"/>
        <v>557.6865165165168</v>
      </c>
      <c r="T841">
        <f t="shared" si="53"/>
        <v>153</v>
      </c>
      <c r="U841">
        <f t="shared" si="54"/>
        <v>1.9139139139139139</v>
      </c>
      <c r="V841">
        <f t="shared" si="55"/>
        <v>557.6865165165168</v>
      </c>
    </row>
    <row r="842" spans="1:22" x14ac:dyDescent="0.25">
      <c r="A842">
        <v>1332</v>
      </c>
      <c r="B842" s="1">
        <v>45141</v>
      </c>
      <c r="C842" t="s">
        <v>60</v>
      </c>
      <c r="D842" t="s">
        <v>18</v>
      </c>
      <c r="E842" t="s">
        <v>19</v>
      </c>
      <c r="F842" t="s">
        <v>33</v>
      </c>
      <c r="G842" t="s">
        <v>79</v>
      </c>
      <c r="H842" t="s">
        <v>67</v>
      </c>
      <c r="I842" t="s">
        <v>23</v>
      </c>
      <c r="J842" t="s">
        <v>30</v>
      </c>
      <c r="K842" t="s">
        <v>25</v>
      </c>
      <c r="L842">
        <v>1</v>
      </c>
      <c r="M842">
        <v>2</v>
      </c>
      <c r="N842">
        <v>5</v>
      </c>
      <c r="O842">
        <v>4</v>
      </c>
      <c r="P842">
        <v>231.76</v>
      </c>
      <c r="Q842">
        <v>77</v>
      </c>
      <c r="S842">
        <f t="shared" si="52"/>
        <v>557.6865165165168</v>
      </c>
      <c r="T842">
        <f t="shared" si="53"/>
        <v>153</v>
      </c>
      <c r="U842">
        <f t="shared" si="54"/>
        <v>1.9139139139139139</v>
      </c>
      <c r="V842">
        <f t="shared" si="55"/>
        <v>557.6865165165168</v>
      </c>
    </row>
    <row r="843" spans="1:22" x14ac:dyDescent="0.25">
      <c r="A843">
        <v>1333</v>
      </c>
      <c r="B843" s="1">
        <v>44634</v>
      </c>
      <c r="C843" t="s">
        <v>43</v>
      </c>
      <c r="D843" t="s">
        <v>18</v>
      </c>
      <c r="E843" t="s">
        <v>28</v>
      </c>
      <c r="F843" t="s">
        <v>27</v>
      </c>
      <c r="G843" t="s">
        <v>61</v>
      </c>
      <c r="H843" t="s">
        <v>41</v>
      </c>
      <c r="I843" t="s">
        <v>23</v>
      </c>
      <c r="J843" t="s">
        <v>30</v>
      </c>
      <c r="K843" t="s">
        <v>25</v>
      </c>
      <c r="L843">
        <v>3</v>
      </c>
      <c r="M843">
        <v>4</v>
      </c>
      <c r="N843">
        <v>5</v>
      </c>
      <c r="O843">
        <v>2</v>
      </c>
      <c r="P843">
        <v>605.12</v>
      </c>
      <c r="Q843">
        <v>44</v>
      </c>
      <c r="S843">
        <f t="shared" si="52"/>
        <v>557.6865165165168</v>
      </c>
      <c r="T843">
        <f t="shared" si="53"/>
        <v>153</v>
      </c>
      <c r="U843">
        <f t="shared" si="54"/>
        <v>1.9139139139139139</v>
      </c>
      <c r="V843">
        <f t="shared" si="55"/>
        <v>557.6865165165168</v>
      </c>
    </row>
    <row r="844" spans="1:22" x14ac:dyDescent="0.25">
      <c r="A844">
        <v>1334</v>
      </c>
      <c r="B844" s="1">
        <v>44075</v>
      </c>
      <c r="C844" t="s">
        <v>49</v>
      </c>
      <c r="D844" t="s">
        <v>18</v>
      </c>
      <c r="E844" t="s">
        <v>32</v>
      </c>
      <c r="F844" t="s">
        <v>33</v>
      </c>
      <c r="G844" t="s">
        <v>61</v>
      </c>
      <c r="H844" t="s">
        <v>75</v>
      </c>
      <c r="I844" t="s">
        <v>23</v>
      </c>
      <c r="J844" t="s">
        <v>30</v>
      </c>
      <c r="K844" t="s">
        <v>25</v>
      </c>
      <c r="L844">
        <v>1</v>
      </c>
      <c r="M844">
        <v>3</v>
      </c>
      <c r="N844">
        <v>1</v>
      </c>
      <c r="O844">
        <v>1</v>
      </c>
      <c r="P844">
        <v>297.12</v>
      </c>
      <c r="Q844">
        <v>68</v>
      </c>
      <c r="S844">
        <f t="shared" si="52"/>
        <v>557.6865165165168</v>
      </c>
      <c r="T844">
        <f t="shared" si="53"/>
        <v>153</v>
      </c>
      <c r="U844">
        <f t="shared" si="54"/>
        <v>1.9139139139139139</v>
      </c>
      <c r="V844">
        <f t="shared" si="55"/>
        <v>557.6865165165168</v>
      </c>
    </row>
    <row r="845" spans="1:22" x14ac:dyDescent="0.25">
      <c r="A845">
        <v>1335</v>
      </c>
      <c r="B845" s="1">
        <v>44500</v>
      </c>
      <c r="C845" t="s">
        <v>49</v>
      </c>
      <c r="D845" t="s">
        <v>18</v>
      </c>
      <c r="E845" t="s">
        <v>19</v>
      </c>
      <c r="F845" t="s">
        <v>27</v>
      </c>
      <c r="G845" t="s">
        <v>78</v>
      </c>
      <c r="H845" t="s">
        <v>38</v>
      </c>
      <c r="I845" t="s">
        <v>23</v>
      </c>
      <c r="J845" t="s">
        <v>24</v>
      </c>
      <c r="K845" t="s">
        <v>25</v>
      </c>
      <c r="L845">
        <v>4</v>
      </c>
      <c r="M845">
        <v>5</v>
      </c>
      <c r="N845">
        <v>5</v>
      </c>
      <c r="O845">
        <v>2</v>
      </c>
      <c r="P845">
        <v>384.43</v>
      </c>
      <c r="Q845">
        <v>74</v>
      </c>
      <c r="S845">
        <f t="shared" si="52"/>
        <v>557.6865165165168</v>
      </c>
      <c r="T845">
        <f t="shared" si="53"/>
        <v>153</v>
      </c>
      <c r="U845">
        <f t="shared" si="54"/>
        <v>1.9139139139139139</v>
      </c>
      <c r="V845">
        <f t="shared" si="55"/>
        <v>557.6865165165168</v>
      </c>
    </row>
    <row r="846" spans="1:22" x14ac:dyDescent="0.25">
      <c r="A846">
        <v>1336</v>
      </c>
      <c r="B846" s="1">
        <v>43887</v>
      </c>
      <c r="C846" t="s">
        <v>37</v>
      </c>
      <c r="D846" t="s">
        <v>18</v>
      </c>
      <c r="E846" t="s">
        <v>32</v>
      </c>
      <c r="F846" t="s">
        <v>27</v>
      </c>
      <c r="G846" t="s">
        <v>79</v>
      </c>
      <c r="H846" t="s">
        <v>41</v>
      </c>
      <c r="I846" t="s">
        <v>23</v>
      </c>
      <c r="J846" t="s">
        <v>24</v>
      </c>
      <c r="K846" t="s">
        <v>25</v>
      </c>
      <c r="L846">
        <v>5</v>
      </c>
      <c r="M846">
        <v>1</v>
      </c>
      <c r="N846">
        <v>4</v>
      </c>
      <c r="O846">
        <v>4</v>
      </c>
      <c r="P846">
        <v>969.95</v>
      </c>
      <c r="Q846">
        <v>73</v>
      </c>
      <c r="S846">
        <f t="shared" si="52"/>
        <v>557.6865165165168</v>
      </c>
      <c r="T846">
        <f t="shared" si="53"/>
        <v>153</v>
      </c>
      <c r="U846">
        <f t="shared" si="54"/>
        <v>1.9139139139139139</v>
      </c>
      <c r="V846">
        <f t="shared" si="55"/>
        <v>557.6865165165168</v>
      </c>
    </row>
    <row r="847" spans="1:22" x14ac:dyDescent="0.25">
      <c r="A847">
        <v>1337</v>
      </c>
      <c r="B847" s="1">
        <v>43322</v>
      </c>
      <c r="C847" t="s">
        <v>43</v>
      </c>
      <c r="D847" t="s">
        <v>18</v>
      </c>
      <c r="E847" t="s">
        <v>32</v>
      </c>
      <c r="F847" t="s">
        <v>27</v>
      </c>
      <c r="G847" t="s">
        <v>79</v>
      </c>
      <c r="H847" t="s">
        <v>38</v>
      </c>
      <c r="I847" t="s">
        <v>23</v>
      </c>
      <c r="J847" t="s">
        <v>24</v>
      </c>
      <c r="K847" t="s">
        <v>25</v>
      </c>
      <c r="L847">
        <v>3</v>
      </c>
      <c r="M847">
        <v>3</v>
      </c>
      <c r="N847">
        <v>4</v>
      </c>
      <c r="O847">
        <v>5</v>
      </c>
      <c r="P847">
        <v>719.7</v>
      </c>
      <c r="Q847">
        <v>65</v>
      </c>
      <c r="S847">
        <f t="shared" si="52"/>
        <v>557.6865165165168</v>
      </c>
      <c r="T847">
        <f t="shared" si="53"/>
        <v>153</v>
      </c>
      <c r="U847">
        <f t="shared" si="54"/>
        <v>1.9139139139139139</v>
      </c>
      <c r="V847">
        <f t="shared" si="55"/>
        <v>557.6865165165168</v>
      </c>
    </row>
    <row r="848" spans="1:22" x14ac:dyDescent="0.25">
      <c r="A848">
        <v>1338</v>
      </c>
      <c r="B848" s="1">
        <v>44104</v>
      </c>
      <c r="C848" t="s">
        <v>40</v>
      </c>
      <c r="D848" t="s">
        <v>18</v>
      </c>
      <c r="E848" t="s">
        <v>19</v>
      </c>
      <c r="F848" t="s">
        <v>20</v>
      </c>
      <c r="G848" t="s">
        <v>79</v>
      </c>
      <c r="H848" t="s">
        <v>66</v>
      </c>
      <c r="I848" t="s">
        <v>23</v>
      </c>
      <c r="J848" t="s">
        <v>30</v>
      </c>
      <c r="K848" t="s">
        <v>25</v>
      </c>
      <c r="L848">
        <v>1</v>
      </c>
      <c r="M848">
        <v>1</v>
      </c>
      <c r="N848">
        <v>1</v>
      </c>
      <c r="O848">
        <v>1</v>
      </c>
      <c r="P848">
        <v>355.83</v>
      </c>
      <c r="Q848">
        <v>32</v>
      </c>
      <c r="S848">
        <f t="shared" si="52"/>
        <v>557.6865165165168</v>
      </c>
      <c r="T848">
        <f t="shared" si="53"/>
        <v>153</v>
      </c>
      <c r="U848">
        <f t="shared" si="54"/>
        <v>1.9139139139139139</v>
      </c>
      <c r="V848">
        <f t="shared" si="55"/>
        <v>557.6865165165168</v>
      </c>
    </row>
    <row r="849" spans="1:22" x14ac:dyDescent="0.25">
      <c r="A849">
        <v>1339</v>
      </c>
      <c r="B849" s="1">
        <v>44287</v>
      </c>
      <c r="C849" t="s">
        <v>17</v>
      </c>
      <c r="D849" t="s">
        <v>18</v>
      </c>
      <c r="E849" t="s">
        <v>19</v>
      </c>
      <c r="F849" t="s">
        <v>33</v>
      </c>
      <c r="G849" t="s">
        <v>61</v>
      </c>
      <c r="H849" t="s">
        <v>67</v>
      </c>
      <c r="I849" t="s">
        <v>23</v>
      </c>
      <c r="J849" t="s">
        <v>30</v>
      </c>
      <c r="K849" t="s">
        <v>25</v>
      </c>
      <c r="L849">
        <v>1</v>
      </c>
      <c r="M849">
        <v>3</v>
      </c>
      <c r="N849">
        <v>2</v>
      </c>
      <c r="O849">
        <v>3</v>
      </c>
      <c r="P849">
        <v>754.47</v>
      </c>
      <c r="Q849">
        <v>40</v>
      </c>
      <c r="S849">
        <f t="shared" si="52"/>
        <v>557.6865165165168</v>
      </c>
      <c r="T849">
        <f t="shared" si="53"/>
        <v>153</v>
      </c>
      <c r="U849">
        <f t="shared" si="54"/>
        <v>1.9139139139139139</v>
      </c>
      <c r="V849">
        <f t="shared" si="55"/>
        <v>557.6865165165168</v>
      </c>
    </row>
    <row r="850" spans="1:22" x14ac:dyDescent="0.25">
      <c r="A850">
        <v>1340</v>
      </c>
      <c r="B850" s="1">
        <v>44276</v>
      </c>
      <c r="C850" t="s">
        <v>26</v>
      </c>
      <c r="D850" t="s">
        <v>18</v>
      </c>
      <c r="E850" t="s">
        <v>32</v>
      </c>
      <c r="F850" t="s">
        <v>33</v>
      </c>
      <c r="G850" t="s">
        <v>61</v>
      </c>
      <c r="H850" t="s">
        <v>44</v>
      </c>
      <c r="I850" t="s">
        <v>23</v>
      </c>
      <c r="J850" t="s">
        <v>30</v>
      </c>
      <c r="K850" t="s">
        <v>25</v>
      </c>
      <c r="L850">
        <v>5</v>
      </c>
      <c r="M850">
        <v>4</v>
      </c>
      <c r="N850">
        <v>4</v>
      </c>
      <c r="O850">
        <v>2</v>
      </c>
      <c r="P850">
        <v>890.39</v>
      </c>
      <c r="Q850">
        <v>76</v>
      </c>
      <c r="S850">
        <f t="shared" si="52"/>
        <v>557.6865165165168</v>
      </c>
      <c r="T850">
        <f t="shared" si="53"/>
        <v>153</v>
      </c>
      <c r="U850">
        <f t="shared" si="54"/>
        <v>1.9139139139139139</v>
      </c>
      <c r="V850">
        <f t="shared" si="55"/>
        <v>557.6865165165168</v>
      </c>
    </row>
    <row r="851" spans="1:22" x14ac:dyDescent="0.25">
      <c r="A851">
        <v>1341</v>
      </c>
      <c r="B851" s="1">
        <v>44503</v>
      </c>
      <c r="C851" t="s">
        <v>17</v>
      </c>
      <c r="D851" t="s">
        <v>18</v>
      </c>
      <c r="E851" t="s">
        <v>28</v>
      </c>
      <c r="F851" t="s">
        <v>20</v>
      </c>
      <c r="G851" t="s">
        <v>78</v>
      </c>
      <c r="H851" t="s">
        <v>47</v>
      </c>
      <c r="I851" t="s">
        <v>23</v>
      </c>
      <c r="J851" t="s">
        <v>24</v>
      </c>
      <c r="K851" t="s">
        <v>25</v>
      </c>
      <c r="L851">
        <v>1</v>
      </c>
      <c r="M851">
        <v>3</v>
      </c>
      <c r="N851">
        <v>4</v>
      </c>
      <c r="O851">
        <v>3</v>
      </c>
      <c r="P851">
        <v>268.77999999999997</v>
      </c>
      <c r="Q851">
        <v>42</v>
      </c>
      <c r="S851">
        <f t="shared" si="52"/>
        <v>557.6865165165168</v>
      </c>
      <c r="T851">
        <f t="shared" si="53"/>
        <v>153</v>
      </c>
      <c r="U851">
        <f t="shared" si="54"/>
        <v>1.9139139139139139</v>
      </c>
      <c r="V851">
        <f t="shared" si="55"/>
        <v>557.6865165165168</v>
      </c>
    </row>
    <row r="852" spans="1:22" x14ac:dyDescent="0.25">
      <c r="A852">
        <v>1342</v>
      </c>
      <c r="B852" s="1">
        <v>43638</v>
      </c>
      <c r="C852" t="s">
        <v>26</v>
      </c>
      <c r="D852" t="s">
        <v>18</v>
      </c>
      <c r="E852" t="s">
        <v>32</v>
      </c>
      <c r="F852" t="s">
        <v>33</v>
      </c>
      <c r="G852" t="s">
        <v>79</v>
      </c>
      <c r="H852" t="s">
        <v>29</v>
      </c>
      <c r="I852" t="s">
        <v>23</v>
      </c>
      <c r="J852" t="s">
        <v>24</v>
      </c>
      <c r="K852" t="s">
        <v>25</v>
      </c>
      <c r="L852">
        <v>3</v>
      </c>
      <c r="M852">
        <v>2</v>
      </c>
      <c r="N852">
        <v>2</v>
      </c>
      <c r="O852">
        <v>4</v>
      </c>
      <c r="P852">
        <v>930.72</v>
      </c>
      <c r="Q852">
        <v>34</v>
      </c>
      <c r="S852">
        <f t="shared" si="52"/>
        <v>557.6865165165168</v>
      </c>
      <c r="T852">
        <f t="shared" si="53"/>
        <v>153</v>
      </c>
      <c r="U852">
        <f t="shared" si="54"/>
        <v>1.9139139139139139</v>
      </c>
      <c r="V852">
        <f t="shared" si="55"/>
        <v>557.6865165165168</v>
      </c>
    </row>
    <row r="853" spans="1:22" x14ac:dyDescent="0.25">
      <c r="A853">
        <v>1343</v>
      </c>
      <c r="B853" s="1">
        <v>43781</v>
      </c>
      <c r="C853" t="s">
        <v>54</v>
      </c>
      <c r="D853" t="s">
        <v>18</v>
      </c>
      <c r="E853" t="s">
        <v>19</v>
      </c>
      <c r="F853" t="s">
        <v>33</v>
      </c>
      <c r="G853" t="s">
        <v>79</v>
      </c>
      <c r="H853" t="s">
        <v>66</v>
      </c>
      <c r="I853" t="s">
        <v>23</v>
      </c>
      <c r="J853" t="s">
        <v>24</v>
      </c>
      <c r="K853" t="s">
        <v>25</v>
      </c>
      <c r="L853">
        <v>1</v>
      </c>
      <c r="M853">
        <v>2</v>
      </c>
      <c r="N853">
        <v>3</v>
      </c>
      <c r="O853">
        <v>5</v>
      </c>
      <c r="P853">
        <v>924.85</v>
      </c>
      <c r="Q853">
        <v>61</v>
      </c>
      <c r="S853">
        <f t="shared" si="52"/>
        <v>557.6865165165168</v>
      </c>
      <c r="T853">
        <f t="shared" si="53"/>
        <v>153</v>
      </c>
      <c r="U853">
        <f t="shared" si="54"/>
        <v>1.9139139139139139</v>
      </c>
      <c r="V853">
        <f t="shared" si="55"/>
        <v>557.6865165165168</v>
      </c>
    </row>
    <row r="854" spans="1:22" x14ac:dyDescent="0.25">
      <c r="A854">
        <v>1344</v>
      </c>
      <c r="B854" s="1">
        <v>44824</v>
      </c>
      <c r="C854" t="s">
        <v>37</v>
      </c>
      <c r="D854" t="s">
        <v>18</v>
      </c>
      <c r="E854" t="s">
        <v>28</v>
      </c>
      <c r="F854" t="s">
        <v>27</v>
      </c>
      <c r="G854" t="s">
        <v>79</v>
      </c>
      <c r="H854" t="s">
        <v>38</v>
      </c>
      <c r="I854" t="s">
        <v>23</v>
      </c>
      <c r="J854" t="s">
        <v>30</v>
      </c>
      <c r="K854" t="s">
        <v>25</v>
      </c>
      <c r="L854">
        <v>1</v>
      </c>
      <c r="M854">
        <v>4</v>
      </c>
      <c r="N854">
        <v>5</v>
      </c>
      <c r="O854">
        <v>5</v>
      </c>
      <c r="P854">
        <v>284.38</v>
      </c>
      <c r="Q854">
        <v>42</v>
      </c>
      <c r="S854">
        <f t="shared" si="52"/>
        <v>557.6865165165168</v>
      </c>
      <c r="T854">
        <f t="shared" si="53"/>
        <v>153</v>
      </c>
      <c r="U854">
        <f t="shared" si="54"/>
        <v>1.9139139139139139</v>
      </c>
      <c r="V854">
        <f t="shared" si="55"/>
        <v>557.6865165165168</v>
      </c>
    </row>
    <row r="855" spans="1:22" x14ac:dyDescent="0.25">
      <c r="A855">
        <v>1345</v>
      </c>
      <c r="B855" s="1">
        <v>44953</v>
      </c>
      <c r="C855" t="s">
        <v>60</v>
      </c>
      <c r="D855" t="s">
        <v>18</v>
      </c>
      <c r="E855" t="s">
        <v>32</v>
      </c>
      <c r="F855" t="s">
        <v>27</v>
      </c>
      <c r="G855" t="s">
        <v>79</v>
      </c>
      <c r="H855" t="s">
        <v>63</v>
      </c>
      <c r="I855" t="s">
        <v>23</v>
      </c>
      <c r="J855" t="s">
        <v>30</v>
      </c>
      <c r="K855" t="s">
        <v>25</v>
      </c>
      <c r="L855">
        <v>2</v>
      </c>
      <c r="M855">
        <v>4</v>
      </c>
      <c r="N855">
        <v>4</v>
      </c>
      <c r="O855">
        <v>1</v>
      </c>
      <c r="P855">
        <v>395.1</v>
      </c>
      <c r="Q855">
        <v>45</v>
      </c>
      <c r="S855">
        <f t="shared" si="52"/>
        <v>557.6865165165168</v>
      </c>
      <c r="T855">
        <f t="shared" si="53"/>
        <v>153</v>
      </c>
      <c r="U855">
        <f t="shared" si="54"/>
        <v>1.9139139139139139</v>
      </c>
      <c r="V855">
        <f t="shared" si="55"/>
        <v>557.6865165165168</v>
      </c>
    </row>
    <row r="856" spans="1:22" x14ac:dyDescent="0.25">
      <c r="A856">
        <v>1346</v>
      </c>
      <c r="B856" s="1">
        <v>44248</v>
      </c>
      <c r="C856" t="s">
        <v>43</v>
      </c>
      <c r="D856" t="s">
        <v>18</v>
      </c>
      <c r="E856" t="s">
        <v>19</v>
      </c>
      <c r="F856" t="s">
        <v>20</v>
      </c>
      <c r="G856" t="s">
        <v>61</v>
      </c>
      <c r="H856" t="s">
        <v>41</v>
      </c>
      <c r="I856" t="s">
        <v>23</v>
      </c>
      <c r="J856" t="s">
        <v>30</v>
      </c>
      <c r="K856" t="s">
        <v>25</v>
      </c>
      <c r="L856">
        <v>4</v>
      </c>
      <c r="M856">
        <v>2</v>
      </c>
      <c r="N856">
        <v>3</v>
      </c>
      <c r="O856">
        <v>2</v>
      </c>
      <c r="P856">
        <v>501.64</v>
      </c>
      <c r="Q856">
        <v>73</v>
      </c>
      <c r="S856">
        <f t="shared" si="52"/>
        <v>557.6865165165168</v>
      </c>
      <c r="T856">
        <f t="shared" si="53"/>
        <v>153</v>
      </c>
      <c r="U856">
        <f t="shared" si="54"/>
        <v>1.9139139139139139</v>
      </c>
      <c r="V856">
        <f t="shared" si="55"/>
        <v>557.6865165165168</v>
      </c>
    </row>
    <row r="857" spans="1:22" x14ac:dyDescent="0.25">
      <c r="A857">
        <v>1347</v>
      </c>
      <c r="B857" s="1">
        <v>44624</v>
      </c>
      <c r="C857" t="s">
        <v>49</v>
      </c>
      <c r="D857" t="s">
        <v>18</v>
      </c>
      <c r="E857" t="s">
        <v>28</v>
      </c>
      <c r="F857" t="s">
        <v>33</v>
      </c>
      <c r="G857" t="s">
        <v>61</v>
      </c>
      <c r="H857" t="s">
        <v>38</v>
      </c>
      <c r="I857" t="s">
        <v>23</v>
      </c>
      <c r="J857" t="s">
        <v>30</v>
      </c>
      <c r="K857" t="s">
        <v>25</v>
      </c>
      <c r="L857">
        <v>4</v>
      </c>
      <c r="M857">
        <v>3</v>
      </c>
      <c r="N857">
        <v>1</v>
      </c>
      <c r="O857">
        <v>5</v>
      </c>
      <c r="P857">
        <v>792.72</v>
      </c>
      <c r="Q857">
        <v>27</v>
      </c>
      <c r="S857">
        <f t="shared" si="52"/>
        <v>557.6865165165168</v>
      </c>
      <c r="T857">
        <f t="shared" si="53"/>
        <v>153</v>
      </c>
      <c r="U857">
        <f t="shared" si="54"/>
        <v>1.9139139139139139</v>
      </c>
      <c r="V857">
        <f t="shared" si="55"/>
        <v>557.6865165165168</v>
      </c>
    </row>
    <row r="858" spans="1:22" x14ac:dyDescent="0.25">
      <c r="A858">
        <v>1349</v>
      </c>
      <c r="B858" s="1">
        <v>44410</v>
      </c>
      <c r="C858" t="s">
        <v>26</v>
      </c>
      <c r="D858" t="s">
        <v>18</v>
      </c>
      <c r="E858" t="s">
        <v>32</v>
      </c>
      <c r="F858" t="s">
        <v>33</v>
      </c>
      <c r="G858" t="s">
        <v>79</v>
      </c>
      <c r="H858" t="s">
        <v>81</v>
      </c>
      <c r="I858" t="s">
        <v>23</v>
      </c>
      <c r="J858" t="s">
        <v>24</v>
      </c>
      <c r="K858" t="s">
        <v>25</v>
      </c>
      <c r="L858">
        <v>1</v>
      </c>
      <c r="M858">
        <v>2</v>
      </c>
      <c r="N858">
        <v>3</v>
      </c>
      <c r="O858">
        <v>3</v>
      </c>
      <c r="P858">
        <v>870.01</v>
      </c>
      <c r="Q858">
        <v>72</v>
      </c>
      <c r="S858">
        <f t="shared" si="52"/>
        <v>557.6865165165168</v>
      </c>
      <c r="T858">
        <f t="shared" si="53"/>
        <v>153</v>
      </c>
      <c r="U858">
        <f t="shared" si="54"/>
        <v>1.9139139139139139</v>
      </c>
      <c r="V858">
        <f t="shared" si="55"/>
        <v>557.6865165165168</v>
      </c>
    </row>
    <row r="859" spans="1:22" x14ac:dyDescent="0.25">
      <c r="A859">
        <v>1350</v>
      </c>
      <c r="B859" s="1">
        <v>44624</v>
      </c>
      <c r="C859" t="s">
        <v>54</v>
      </c>
      <c r="D859" t="s">
        <v>18</v>
      </c>
      <c r="E859" t="s">
        <v>28</v>
      </c>
      <c r="F859" t="s">
        <v>33</v>
      </c>
      <c r="G859" t="s">
        <v>79</v>
      </c>
      <c r="H859" t="s">
        <v>41</v>
      </c>
      <c r="I859" t="s">
        <v>23</v>
      </c>
      <c r="J859" t="s">
        <v>24</v>
      </c>
      <c r="K859" t="s">
        <v>25</v>
      </c>
      <c r="L859">
        <v>3</v>
      </c>
      <c r="M859">
        <v>4</v>
      </c>
      <c r="N859">
        <v>5</v>
      </c>
      <c r="O859">
        <v>2</v>
      </c>
      <c r="P859">
        <v>610.05999999999995</v>
      </c>
      <c r="Q859">
        <v>54</v>
      </c>
      <c r="S859">
        <f t="shared" si="52"/>
        <v>557.6865165165168</v>
      </c>
      <c r="T859">
        <f t="shared" si="53"/>
        <v>153</v>
      </c>
      <c r="U859">
        <f t="shared" si="54"/>
        <v>1.9139139139139139</v>
      </c>
      <c r="V859">
        <f t="shared" si="55"/>
        <v>557.6865165165168</v>
      </c>
    </row>
    <row r="860" spans="1:22" x14ac:dyDescent="0.25">
      <c r="A860">
        <v>1351</v>
      </c>
      <c r="B860" s="1">
        <v>44283</v>
      </c>
      <c r="C860" t="s">
        <v>37</v>
      </c>
      <c r="D860" t="s">
        <v>18</v>
      </c>
      <c r="E860" t="s">
        <v>19</v>
      </c>
      <c r="F860" t="s">
        <v>20</v>
      </c>
      <c r="G860" t="s">
        <v>79</v>
      </c>
      <c r="H860" t="s">
        <v>41</v>
      </c>
      <c r="I860" t="s">
        <v>23</v>
      </c>
      <c r="J860" t="s">
        <v>30</v>
      </c>
      <c r="K860" t="s">
        <v>25</v>
      </c>
      <c r="L860">
        <v>4</v>
      </c>
      <c r="M860">
        <v>1</v>
      </c>
      <c r="N860">
        <v>5</v>
      </c>
      <c r="O860">
        <v>2</v>
      </c>
      <c r="P860">
        <v>278.16000000000003</v>
      </c>
      <c r="Q860">
        <v>23</v>
      </c>
      <c r="S860">
        <f t="shared" si="52"/>
        <v>557.6865165165168</v>
      </c>
      <c r="T860">
        <f t="shared" si="53"/>
        <v>153</v>
      </c>
      <c r="U860">
        <f t="shared" si="54"/>
        <v>1.9139139139139139</v>
      </c>
      <c r="V860">
        <f t="shared" si="55"/>
        <v>557.6865165165168</v>
      </c>
    </row>
    <row r="861" spans="1:22" x14ac:dyDescent="0.25">
      <c r="A861">
        <v>1352</v>
      </c>
      <c r="B861" s="1">
        <v>43320</v>
      </c>
      <c r="C861" t="s">
        <v>60</v>
      </c>
      <c r="D861" t="s">
        <v>18</v>
      </c>
      <c r="E861" t="s">
        <v>19</v>
      </c>
      <c r="F861" t="s">
        <v>33</v>
      </c>
      <c r="G861" t="s">
        <v>79</v>
      </c>
      <c r="H861" t="s">
        <v>41</v>
      </c>
      <c r="I861" t="s">
        <v>23</v>
      </c>
      <c r="J861" t="s">
        <v>30</v>
      </c>
      <c r="K861" t="s">
        <v>25</v>
      </c>
      <c r="L861">
        <v>4</v>
      </c>
      <c r="M861">
        <v>2</v>
      </c>
      <c r="N861">
        <v>1</v>
      </c>
      <c r="O861">
        <v>4</v>
      </c>
      <c r="P861">
        <v>218.93</v>
      </c>
      <c r="Q861">
        <v>44</v>
      </c>
      <c r="S861">
        <f t="shared" si="52"/>
        <v>557.6865165165168</v>
      </c>
      <c r="T861">
        <f t="shared" si="53"/>
        <v>153</v>
      </c>
      <c r="U861">
        <f t="shared" si="54"/>
        <v>1.9139139139139139</v>
      </c>
      <c r="V861">
        <f t="shared" si="55"/>
        <v>557.6865165165168</v>
      </c>
    </row>
    <row r="862" spans="1:22" x14ac:dyDescent="0.25">
      <c r="A862">
        <v>1353</v>
      </c>
      <c r="B862" s="1">
        <v>44089</v>
      </c>
      <c r="C862" t="s">
        <v>43</v>
      </c>
      <c r="D862" t="s">
        <v>18</v>
      </c>
      <c r="E862" t="s">
        <v>28</v>
      </c>
      <c r="F862" t="s">
        <v>27</v>
      </c>
      <c r="G862" t="s">
        <v>61</v>
      </c>
      <c r="H862" t="s">
        <v>41</v>
      </c>
      <c r="I862" t="s">
        <v>23</v>
      </c>
      <c r="J862" t="s">
        <v>30</v>
      </c>
      <c r="K862" t="s">
        <v>25</v>
      </c>
      <c r="L862">
        <v>5</v>
      </c>
      <c r="M862">
        <v>1</v>
      </c>
      <c r="N862">
        <v>5</v>
      </c>
      <c r="O862">
        <v>5</v>
      </c>
      <c r="P862">
        <v>179.21</v>
      </c>
      <c r="Q862">
        <v>74</v>
      </c>
      <c r="S862">
        <f t="shared" si="52"/>
        <v>557.6865165165168</v>
      </c>
      <c r="T862">
        <f t="shared" si="53"/>
        <v>153</v>
      </c>
      <c r="U862">
        <f t="shared" si="54"/>
        <v>1.9139139139139139</v>
      </c>
      <c r="V862">
        <f t="shared" si="55"/>
        <v>557.6865165165168</v>
      </c>
    </row>
    <row r="863" spans="1:22" x14ac:dyDescent="0.25">
      <c r="A863">
        <v>1355</v>
      </c>
      <c r="B863" s="1">
        <v>44363</v>
      </c>
      <c r="C863" t="s">
        <v>52</v>
      </c>
      <c r="D863" t="s">
        <v>18</v>
      </c>
      <c r="E863" t="s">
        <v>32</v>
      </c>
      <c r="F863" t="s">
        <v>33</v>
      </c>
      <c r="G863" t="s">
        <v>79</v>
      </c>
      <c r="H863" t="s">
        <v>38</v>
      </c>
      <c r="I863" t="s">
        <v>23</v>
      </c>
      <c r="J863" t="s">
        <v>24</v>
      </c>
      <c r="K863" t="s">
        <v>25</v>
      </c>
      <c r="L863">
        <v>2</v>
      </c>
      <c r="M863">
        <v>2</v>
      </c>
      <c r="N863">
        <v>3</v>
      </c>
      <c r="O863">
        <v>5</v>
      </c>
      <c r="P863">
        <v>534.28</v>
      </c>
      <c r="Q863">
        <v>76</v>
      </c>
      <c r="S863">
        <f t="shared" si="52"/>
        <v>557.6865165165168</v>
      </c>
      <c r="T863">
        <f t="shared" si="53"/>
        <v>153</v>
      </c>
      <c r="U863">
        <f t="shared" si="54"/>
        <v>1.9139139139139139</v>
      </c>
      <c r="V863">
        <f t="shared" si="55"/>
        <v>557.6865165165168</v>
      </c>
    </row>
    <row r="864" spans="1:22" x14ac:dyDescent="0.25">
      <c r="A864">
        <v>1356</v>
      </c>
      <c r="B864" s="1">
        <v>45005</v>
      </c>
      <c r="C864" t="s">
        <v>26</v>
      </c>
      <c r="D864" t="s">
        <v>18</v>
      </c>
      <c r="E864" t="s">
        <v>28</v>
      </c>
      <c r="F864" t="s">
        <v>27</v>
      </c>
      <c r="G864" t="s">
        <v>79</v>
      </c>
      <c r="H864" t="s">
        <v>47</v>
      </c>
      <c r="I864" t="s">
        <v>23</v>
      </c>
      <c r="J864" t="s">
        <v>24</v>
      </c>
      <c r="K864" t="s">
        <v>25</v>
      </c>
      <c r="L864">
        <v>1</v>
      </c>
      <c r="M864">
        <v>1</v>
      </c>
      <c r="N864">
        <v>1</v>
      </c>
      <c r="O864">
        <v>3</v>
      </c>
      <c r="P864">
        <v>301.39</v>
      </c>
      <c r="Q864">
        <v>35</v>
      </c>
      <c r="S864">
        <f t="shared" si="52"/>
        <v>557.6865165165168</v>
      </c>
      <c r="T864">
        <f t="shared" si="53"/>
        <v>153</v>
      </c>
      <c r="U864">
        <f t="shared" si="54"/>
        <v>1.9139139139139139</v>
      </c>
      <c r="V864">
        <f t="shared" si="55"/>
        <v>557.6865165165168</v>
      </c>
    </row>
    <row r="865" spans="1:22" x14ac:dyDescent="0.25">
      <c r="A865">
        <v>1357</v>
      </c>
      <c r="B865" s="1">
        <v>43350</v>
      </c>
      <c r="C865" t="s">
        <v>54</v>
      </c>
      <c r="D865" t="s">
        <v>18</v>
      </c>
      <c r="E865" t="s">
        <v>32</v>
      </c>
      <c r="F865" t="s">
        <v>20</v>
      </c>
      <c r="G865" t="s">
        <v>79</v>
      </c>
      <c r="H865" t="s">
        <v>47</v>
      </c>
      <c r="I865" t="s">
        <v>23</v>
      </c>
      <c r="J865" t="s">
        <v>30</v>
      </c>
      <c r="K865" t="s">
        <v>25</v>
      </c>
      <c r="L865">
        <v>1</v>
      </c>
      <c r="M865">
        <v>4</v>
      </c>
      <c r="N865">
        <v>3</v>
      </c>
      <c r="O865">
        <v>3</v>
      </c>
      <c r="P865">
        <v>231.65</v>
      </c>
      <c r="Q865">
        <v>46</v>
      </c>
      <c r="S865">
        <f t="shared" si="52"/>
        <v>557.6865165165168</v>
      </c>
      <c r="T865">
        <f t="shared" si="53"/>
        <v>153</v>
      </c>
      <c r="U865">
        <f t="shared" si="54"/>
        <v>1.9139139139139139</v>
      </c>
      <c r="V865">
        <f t="shared" si="55"/>
        <v>557.6865165165168</v>
      </c>
    </row>
    <row r="866" spans="1:22" x14ac:dyDescent="0.25">
      <c r="A866">
        <v>1358</v>
      </c>
      <c r="B866" s="1">
        <v>43412</v>
      </c>
      <c r="C866" t="s">
        <v>37</v>
      </c>
      <c r="D866" t="s">
        <v>18</v>
      </c>
      <c r="E866" t="s">
        <v>28</v>
      </c>
      <c r="F866" t="s">
        <v>33</v>
      </c>
      <c r="G866" t="s">
        <v>79</v>
      </c>
      <c r="H866" t="s">
        <v>41</v>
      </c>
      <c r="I866" t="s">
        <v>23</v>
      </c>
      <c r="J866" t="s">
        <v>30</v>
      </c>
      <c r="K866" t="s">
        <v>25</v>
      </c>
      <c r="L866">
        <v>1</v>
      </c>
      <c r="M866">
        <v>2</v>
      </c>
      <c r="N866">
        <v>5</v>
      </c>
      <c r="O866">
        <v>2</v>
      </c>
      <c r="P866">
        <v>994.81</v>
      </c>
      <c r="Q866">
        <v>22</v>
      </c>
      <c r="S866">
        <f t="shared" si="52"/>
        <v>557.6865165165168</v>
      </c>
      <c r="T866">
        <f t="shared" si="53"/>
        <v>153</v>
      </c>
      <c r="U866">
        <f t="shared" si="54"/>
        <v>1.9139139139139139</v>
      </c>
      <c r="V866">
        <f t="shared" si="55"/>
        <v>557.6865165165168</v>
      </c>
    </row>
    <row r="867" spans="1:22" x14ac:dyDescent="0.25">
      <c r="A867">
        <v>1359</v>
      </c>
      <c r="B867" s="1">
        <v>43491</v>
      </c>
      <c r="C867" t="s">
        <v>40</v>
      </c>
      <c r="D867" t="s">
        <v>18</v>
      </c>
      <c r="E867" t="s">
        <v>32</v>
      </c>
      <c r="F867" t="s">
        <v>27</v>
      </c>
      <c r="G867" t="s">
        <v>79</v>
      </c>
      <c r="H867" t="s">
        <v>68</v>
      </c>
      <c r="I867" t="s">
        <v>23</v>
      </c>
      <c r="J867" t="s">
        <v>30</v>
      </c>
      <c r="K867" t="s">
        <v>25</v>
      </c>
      <c r="L867">
        <v>4</v>
      </c>
      <c r="M867">
        <v>5</v>
      </c>
      <c r="N867">
        <v>1</v>
      </c>
      <c r="O867">
        <v>4</v>
      </c>
      <c r="P867">
        <v>729.91</v>
      </c>
      <c r="Q867">
        <v>21</v>
      </c>
      <c r="S867">
        <f t="shared" si="52"/>
        <v>557.6865165165168</v>
      </c>
      <c r="T867">
        <f t="shared" si="53"/>
        <v>153</v>
      </c>
      <c r="U867">
        <f t="shared" si="54"/>
        <v>1.9139139139139139</v>
      </c>
      <c r="V867">
        <f t="shared" si="55"/>
        <v>557.6865165165168</v>
      </c>
    </row>
    <row r="868" spans="1:22" x14ac:dyDescent="0.25">
      <c r="A868">
        <v>1360</v>
      </c>
      <c r="B868" s="1">
        <v>44438</v>
      </c>
      <c r="C868" t="s">
        <v>17</v>
      </c>
      <c r="D868" t="s">
        <v>18</v>
      </c>
      <c r="E868" t="s">
        <v>19</v>
      </c>
      <c r="F868" t="s">
        <v>33</v>
      </c>
      <c r="G868" t="s">
        <v>61</v>
      </c>
      <c r="H868" t="s">
        <v>41</v>
      </c>
      <c r="I868" t="s">
        <v>23</v>
      </c>
      <c r="J868" t="s">
        <v>30</v>
      </c>
      <c r="K868" t="s">
        <v>72</v>
      </c>
      <c r="L868">
        <v>5</v>
      </c>
      <c r="M868">
        <v>2</v>
      </c>
      <c r="N868">
        <v>1</v>
      </c>
      <c r="O868">
        <v>2</v>
      </c>
      <c r="P868">
        <v>538.02</v>
      </c>
      <c r="Q868">
        <v>57</v>
      </c>
      <c r="S868">
        <f t="shared" si="52"/>
        <v>557.6865165165168</v>
      </c>
      <c r="T868">
        <f t="shared" si="53"/>
        <v>153</v>
      </c>
      <c r="U868">
        <f t="shared" si="54"/>
        <v>1.9139139139139139</v>
      </c>
      <c r="V868">
        <f t="shared" si="55"/>
        <v>557.6865165165168</v>
      </c>
    </row>
    <row r="869" spans="1:22" x14ac:dyDescent="0.25">
      <c r="A869">
        <v>1362</v>
      </c>
      <c r="B869" s="1">
        <v>43779</v>
      </c>
      <c r="C869" t="s">
        <v>52</v>
      </c>
      <c r="D869" t="s">
        <v>18</v>
      </c>
      <c r="E869" t="s">
        <v>32</v>
      </c>
      <c r="F869" t="s">
        <v>20</v>
      </c>
      <c r="G869" t="s">
        <v>79</v>
      </c>
      <c r="H869" t="s">
        <v>38</v>
      </c>
      <c r="I869" t="s">
        <v>23</v>
      </c>
      <c r="J869" t="s">
        <v>24</v>
      </c>
      <c r="K869" t="s">
        <v>46</v>
      </c>
      <c r="L869">
        <v>5</v>
      </c>
      <c r="M869">
        <v>2</v>
      </c>
      <c r="N869">
        <v>5</v>
      </c>
      <c r="O869">
        <v>4</v>
      </c>
      <c r="P869">
        <v>196.94</v>
      </c>
      <c r="Q869">
        <v>36</v>
      </c>
      <c r="S869">
        <f t="shared" si="52"/>
        <v>557.6865165165168</v>
      </c>
      <c r="T869">
        <f t="shared" si="53"/>
        <v>153</v>
      </c>
      <c r="U869">
        <f t="shared" si="54"/>
        <v>1.9139139139139139</v>
      </c>
      <c r="V869">
        <f t="shared" si="55"/>
        <v>557.6865165165168</v>
      </c>
    </row>
    <row r="870" spans="1:22" x14ac:dyDescent="0.25">
      <c r="A870">
        <v>1363</v>
      </c>
      <c r="B870" s="1">
        <v>45135</v>
      </c>
      <c r="C870" t="s">
        <v>26</v>
      </c>
      <c r="D870" t="s">
        <v>18</v>
      </c>
      <c r="E870" t="s">
        <v>32</v>
      </c>
      <c r="F870" t="s">
        <v>27</v>
      </c>
      <c r="G870" t="s">
        <v>79</v>
      </c>
      <c r="H870" t="s">
        <v>38</v>
      </c>
      <c r="I870" t="s">
        <v>23</v>
      </c>
      <c r="J870" t="s">
        <v>24</v>
      </c>
      <c r="K870" t="s">
        <v>72</v>
      </c>
      <c r="L870">
        <v>5</v>
      </c>
      <c r="M870">
        <v>2</v>
      </c>
      <c r="N870">
        <v>2</v>
      </c>
      <c r="O870">
        <v>2</v>
      </c>
      <c r="P870">
        <v>285.83</v>
      </c>
      <c r="Q870">
        <v>41</v>
      </c>
      <c r="S870">
        <f t="shared" si="52"/>
        <v>557.6865165165168</v>
      </c>
      <c r="T870">
        <f t="shared" si="53"/>
        <v>153</v>
      </c>
      <c r="U870">
        <f t="shared" si="54"/>
        <v>1.9139139139139139</v>
      </c>
      <c r="V870">
        <f t="shared" si="55"/>
        <v>557.6865165165168</v>
      </c>
    </row>
    <row r="871" spans="1:22" x14ac:dyDescent="0.25">
      <c r="A871">
        <v>1364</v>
      </c>
      <c r="B871" s="1">
        <v>43558</v>
      </c>
      <c r="C871" t="s">
        <v>54</v>
      </c>
      <c r="D871" t="s">
        <v>18</v>
      </c>
      <c r="E871" t="s">
        <v>19</v>
      </c>
      <c r="F871" t="s">
        <v>20</v>
      </c>
      <c r="G871" t="s">
        <v>79</v>
      </c>
      <c r="H871" t="s">
        <v>22</v>
      </c>
      <c r="I871" t="s">
        <v>23</v>
      </c>
      <c r="J871" t="s">
        <v>30</v>
      </c>
      <c r="K871" t="s">
        <v>46</v>
      </c>
      <c r="L871">
        <v>2</v>
      </c>
      <c r="M871">
        <v>2</v>
      </c>
      <c r="N871">
        <v>4</v>
      </c>
      <c r="O871">
        <v>4</v>
      </c>
      <c r="P871">
        <v>818.6</v>
      </c>
      <c r="Q871">
        <v>46</v>
      </c>
      <c r="S871">
        <f t="shared" si="52"/>
        <v>557.6865165165168</v>
      </c>
      <c r="T871">
        <f t="shared" si="53"/>
        <v>153</v>
      </c>
      <c r="U871">
        <f t="shared" si="54"/>
        <v>1.9139139139139139</v>
      </c>
      <c r="V871">
        <f t="shared" si="55"/>
        <v>557.6865165165168</v>
      </c>
    </row>
    <row r="872" spans="1:22" x14ac:dyDescent="0.25">
      <c r="A872">
        <v>1365</v>
      </c>
      <c r="B872" s="1">
        <v>43670</v>
      </c>
      <c r="C872" t="s">
        <v>37</v>
      </c>
      <c r="D872" t="s">
        <v>18</v>
      </c>
      <c r="E872" t="s">
        <v>19</v>
      </c>
      <c r="F872" t="s">
        <v>20</v>
      </c>
      <c r="G872" t="s">
        <v>79</v>
      </c>
      <c r="H872" t="s">
        <v>41</v>
      </c>
      <c r="I872" t="s">
        <v>23</v>
      </c>
      <c r="J872" t="s">
        <v>30</v>
      </c>
      <c r="K872" t="s">
        <v>46</v>
      </c>
      <c r="L872">
        <v>5</v>
      </c>
      <c r="M872">
        <v>1</v>
      </c>
      <c r="N872">
        <v>2</v>
      </c>
      <c r="O872">
        <v>1</v>
      </c>
      <c r="P872">
        <v>610.97</v>
      </c>
      <c r="Q872">
        <v>37</v>
      </c>
      <c r="S872">
        <f t="shared" si="52"/>
        <v>557.6865165165168</v>
      </c>
      <c r="T872">
        <f t="shared" si="53"/>
        <v>153</v>
      </c>
      <c r="U872">
        <f t="shared" si="54"/>
        <v>1.9139139139139139</v>
      </c>
      <c r="V872">
        <f t="shared" si="55"/>
        <v>557.6865165165168</v>
      </c>
    </row>
    <row r="873" spans="1:22" x14ac:dyDescent="0.25">
      <c r="A873">
        <v>1366</v>
      </c>
      <c r="B873" s="1">
        <v>44680</v>
      </c>
      <c r="C873" t="s">
        <v>60</v>
      </c>
      <c r="D873" t="s">
        <v>18</v>
      </c>
      <c r="E873" t="s">
        <v>19</v>
      </c>
      <c r="F873" t="s">
        <v>33</v>
      </c>
      <c r="G873" t="s">
        <v>61</v>
      </c>
      <c r="H873" t="s">
        <v>38</v>
      </c>
      <c r="I873" t="s">
        <v>23</v>
      </c>
      <c r="J873" t="s">
        <v>30</v>
      </c>
      <c r="K873" t="s">
        <v>46</v>
      </c>
      <c r="L873">
        <v>1</v>
      </c>
      <c r="M873">
        <v>4</v>
      </c>
      <c r="N873">
        <v>2</v>
      </c>
      <c r="O873">
        <v>1</v>
      </c>
      <c r="P873">
        <v>762.83</v>
      </c>
      <c r="Q873">
        <v>72</v>
      </c>
      <c r="S873">
        <f t="shared" si="52"/>
        <v>557.6865165165168</v>
      </c>
      <c r="T873">
        <f t="shared" si="53"/>
        <v>153</v>
      </c>
      <c r="U873">
        <f t="shared" si="54"/>
        <v>1.9139139139139139</v>
      </c>
      <c r="V873">
        <f t="shared" si="55"/>
        <v>557.6865165165168</v>
      </c>
    </row>
    <row r="874" spans="1:22" x14ac:dyDescent="0.25">
      <c r="A874">
        <v>1367</v>
      </c>
      <c r="B874" s="1">
        <v>44110</v>
      </c>
      <c r="C874" t="s">
        <v>43</v>
      </c>
      <c r="D874" t="s">
        <v>18</v>
      </c>
      <c r="E874" t="s">
        <v>28</v>
      </c>
      <c r="F874" t="s">
        <v>33</v>
      </c>
      <c r="G874" t="s">
        <v>61</v>
      </c>
      <c r="H874" t="s">
        <v>50</v>
      </c>
      <c r="I874" t="s">
        <v>23</v>
      </c>
      <c r="J874" t="s">
        <v>24</v>
      </c>
      <c r="K874" t="s">
        <v>46</v>
      </c>
      <c r="L874">
        <v>1</v>
      </c>
      <c r="M874">
        <v>4</v>
      </c>
      <c r="N874">
        <v>3</v>
      </c>
      <c r="O874">
        <v>5</v>
      </c>
      <c r="P874">
        <v>438.44</v>
      </c>
      <c r="Q874">
        <v>30</v>
      </c>
      <c r="S874">
        <f t="shared" si="52"/>
        <v>557.6865165165168</v>
      </c>
      <c r="T874">
        <f t="shared" si="53"/>
        <v>153</v>
      </c>
      <c r="U874">
        <f t="shared" si="54"/>
        <v>1.9139139139139139</v>
      </c>
      <c r="V874">
        <f t="shared" si="55"/>
        <v>557.6865165165168</v>
      </c>
    </row>
    <row r="875" spans="1:22" x14ac:dyDescent="0.25">
      <c r="A875">
        <v>1368</v>
      </c>
      <c r="B875" s="1">
        <v>43925</v>
      </c>
      <c r="C875" t="s">
        <v>60</v>
      </c>
      <c r="D875" t="s">
        <v>18</v>
      </c>
      <c r="E875" t="s">
        <v>28</v>
      </c>
      <c r="F875" t="s">
        <v>20</v>
      </c>
      <c r="G875" t="s">
        <v>79</v>
      </c>
      <c r="H875" t="s">
        <v>35</v>
      </c>
      <c r="I875" t="s">
        <v>23</v>
      </c>
      <c r="J875" t="s">
        <v>24</v>
      </c>
      <c r="K875" t="s">
        <v>46</v>
      </c>
      <c r="L875">
        <v>2</v>
      </c>
      <c r="M875">
        <v>2</v>
      </c>
      <c r="N875">
        <v>2</v>
      </c>
      <c r="O875">
        <v>4</v>
      </c>
      <c r="P875">
        <v>271.89999999999998</v>
      </c>
      <c r="Q875">
        <v>27</v>
      </c>
      <c r="S875">
        <f t="shared" si="52"/>
        <v>557.6865165165168</v>
      </c>
      <c r="T875">
        <f t="shared" si="53"/>
        <v>153</v>
      </c>
      <c r="U875">
        <f t="shared" si="54"/>
        <v>1.9139139139139139</v>
      </c>
      <c r="V875">
        <f t="shared" si="55"/>
        <v>557.6865165165168</v>
      </c>
    </row>
    <row r="876" spans="1:22" x14ac:dyDescent="0.25">
      <c r="A876">
        <v>1369</v>
      </c>
      <c r="B876" s="1">
        <v>44281</v>
      </c>
      <c r="C876" t="s">
        <v>17</v>
      </c>
      <c r="D876" t="s">
        <v>18</v>
      </c>
      <c r="E876" t="s">
        <v>19</v>
      </c>
      <c r="F876" t="s">
        <v>20</v>
      </c>
      <c r="G876" t="s">
        <v>34</v>
      </c>
      <c r="H876" t="s">
        <v>29</v>
      </c>
      <c r="I876" t="s">
        <v>23</v>
      </c>
      <c r="J876" t="s">
        <v>24</v>
      </c>
      <c r="K876" t="s">
        <v>46</v>
      </c>
      <c r="L876">
        <v>2</v>
      </c>
      <c r="M876">
        <v>4</v>
      </c>
      <c r="N876">
        <v>3</v>
      </c>
      <c r="O876">
        <v>2</v>
      </c>
      <c r="P876">
        <v>629.20000000000005</v>
      </c>
      <c r="Q876">
        <v>47</v>
      </c>
      <c r="S876">
        <f t="shared" si="52"/>
        <v>557.6865165165168</v>
      </c>
      <c r="T876">
        <f t="shared" si="53"/>
        <v>153</v>
      </c>
      <c r="U876">
        <f t="shared" si="54"/>
        <v>1.9139139139139139</v>
      </c>
      <c r="V876">
        <f t="shared" si="55"/>
        <v>557.6865165165168</v>
      </c>
    </row>
    <row r="877" spans="1:22" x14ac:dyDescent="0.25">
      <c r="A877">
        <v>1370</v>
      </c>
      <c r="B877" s="1">
        <v>44700</v>
      </c>
      <c r="C877" t="s">
        <v>52</v>
      </c>
      <c r="D877" t="s">
        <v>18</v>
      </c>
      <c r="E877" t="s">
        <v>28</v>
      </c>
      <c r="F877" t="s">
        <v>27</v>
      </c>
      <c r="G877" t="s">
        <v>79</v>
      </c>
      <c r="H877" t="s">
        <v>38</v>
      </c>
      <c r="I877" t="s">
        <v>23</v>
      </c>
      <c r="J877" t="s">
        <v>24</v>
      </c>
      <c r="K877" t="s">
        <v>46</v>
      </c>
      <c r="L877">
        <v>1</v>
      </c>
      <c r="M877">
        <v>2</v>
      </c>
      <c r="N877">
        <v>1</v>
      </c>
      <c r="O877">
        <v>1</v>
      </c>
      <c r="P877">
        <v>850.28</v>
      </c>
      <c r="Q877">
        <v>30</v>
      </c>
      <c r="S877">
        <f t="shared" si="52"/>
        <v>557.6865165165168</v>
      </c>
      <c r="T877">
        <f t="shared" si="53"/>
        <v>153</v>
      </c>
      <c r="U877">
        <f t="shared" si="54"/>
        <v>1.9139139139139139</v>
      </c>
      <c r="V877">
        <f t="shared" si="55"/>
        <v>557.6865165165168</v>
      </c>
    </row>
    <row r="878" spans="1:22" x14ac:dyDescent="0.25">
      <c r="A878">
        <v>1371</v>
      </c>
      <c r="B878" s="1">
        <v>44436</v>
      </c>
      <c r="C878" t="s">
        <v>26</v>
      </c>
      <c r="D878" t="s">
        <v>18</v>
      </c>
      <c r="E878" t="s">
        <v>19</v>
      </c>
      <c r="F878" t="s">
        <v>27</v>
      </c>
      <c r="G878" t="s">
        <v>79</v>
      </c>
      <c r="H878" t="s">
        <v>41</v>
      </c>
      <c r="I878" t="s">
        <v>23</v>
      </c>
      <c r="J878" t="s">
        <v>24</v>
      </c>
      <c r="K878" t="s">
        <v>46</v>
      </c>
      <c r="L878">
        <v>1</v>
      </c>
      <c r="M878">
        <v>1</v>
      </c>
      <c r="N878">
        <v>2</v>
      </c>
      <c r="O878">
        <v>1</v>
      </c>
      <c r="P878">
        <v>321.25</v>
      </c>
      <c r="Q878">
        <v>64</v>
      </c>
      <c r="S878">
        <f t="shared" si="52"/>
        <v>557.6865165165168</v>
      </c>
      <c r="T878">
        <f t="shared" si="53"/>
        <v>153</v>
      </c>
      <c r="U878">
        <f t="shared" si="54"/>
        <v>1.9139139139139139</v>
      </c>
      <c r="V878">
        <f t="shared" si="55"/>
        <v>557.6865165165168</v>
      </c>
    </row>
    <row r="879" spans="1:22" x14ac:dyDescent="0.25">
      <c r="A879">
        <v>1372</v>
      </c>
      <c r="B879" s="1">
        <v>44889</v>
      </c>
      <c r="C879" t="s">
        <v>54</v>
      </c>
      <c r="D879" t="s">
        <v>18</v>
      </c>
      <c r="E879" t="s">
        <v>19</v>
      </c>
      <c r="F879" t="s">
        <v>27</v>
      </c>
      <c r="G879" t="s">
        <v>79</v>
      </c>
      <c r="H879" t="s">
        <v>29</v>
      </c>
      <c r="I879" t="s">
        <v>23</v>
      </c>
      <c r="J879" t="s">
        <v>30</v>
      </c>
      <c r="K879" t="s">
        <v>46</v>
      </c>
      <c r="L879">
        <v>3</v>
      </c>
      <c r="M879">
        <v>1</v>
      </c>
      <c r="N879">
        <v>4</v>
      </c>
      <c r="O879">
        <v>1</v>
      </c>
      <c r="P879">
        <v>475.32</v>
      </c>
      <c r="Q879">
        <v>31</v>
      </c>
      <c r="S879">
        <f t="shared" si="52"/>
        <v>557.6865165165168</v>
      </c>
      <c r="T879">
        <f t="shared" si="53"/>
        <v>153</v>
      </c>
      <c r="U879">
        <f t="shared" si="54"/>
        <v>1.9139139139139139</v>
      </c>
      <c r="V879">
        <f t="shared" si="55"/>
        <v>557.6865165165168</v>
      </c>
    </row>
    <row r="880" spans="1:22" x14ac:dyDescent="0.25">
      <c r="A880">
        <v>1373</v>
      </c>
      <c r="B880" s="1">
        <v>44573</v>
      </c>
      <c r="C880" t="s">
        <v>37</v>
      </c>
      <c r="D880" t="s">
        <v>18</v>
      </c>
      <c r="E880" t="s">
        <v>19</v>
      </c>
      <c r="F880" t="s">
        <v>27</v>
      </c>
      <c r="G880" t="s">
        <v>79</v>
      </c>
      <c r="H880" t="s">
        <v>41</v>
      </c>
      <c r="I880" t="s">
        <v>23</v>
      </c>
      <c r="J880" t="s">
        <v>30</v>
      </c>
      <c r="K880" t="s">
        <v>46</v>
      </c>
      <c r="L880">
        <v>1</v>
      </c>
      <c r="M880">
        <v>2</v>
      </c>
      <c r="N880">
        <v>5</v>
      </c>
      <c r="O880">
        <v>4</v>
      </c>
      <c r="P880">
        <v>847.2</v>
      </c>
      <c r="Q880">
        <v>36</v>
      </c>
      <c r="S880">
        <f t="shared" si="52"/>
        <v>557.6865165165168</v>
      </c>
      <c r="T880">
        <f t="shared" si="53"/>
        <v>153</v>
      </c>
      <c r="U880">
        <f t="shared" si="54"/>
        <v>1.9139139139139139</v>
      </c>
      <c r="V880">
        <f t="shared" si="55"/>
        <v>557.6865165165168</v>
      </c>
    </row>
    <row r="881" spans="1:22" x14ac:dyDescent="0.25">
      <c r="A881">
        <v>1374</v>
      </c>
      <c r="B881" s="1">
        <v>43653</v>
      </c>
      <c r="C881" t="s">
        <v>60</v>
      </c>
      <c r="D881" t="s">
        <v>18</v>
      </c>
      <c r="E881" t="s">
        <v>28</v>
      </c>
      <c r="F881" t="s">
        <v>33</v>
      </c>
      <c r="G881" t="s">
        <v>61</v>
      </c>
      <c r="H881" t="s">
        <v>29</v>
      </c>
      <c r="I881" t="s">
        <v>23</v>
      </c>
      <c r="J881" t="s">
        <v>24</v>
      </c>
      <c r="K881" t="s">
        <v>46</v>
      </c>
      <c r="L881">
        <v>5</v>
      </c>
      <c r="M881">
        <v>5</v>
      </c>
      <c r="N881">
        <v>4</v>
      </c>
      <c r="O881">
        <v>1</v>
      </c>
      <c r="P881">
        <v>983.35</v>
      </c>
      <c r="Q881">
        <v>77</v>
      </c>
      <c r="S881">
        <f t="shared" si="52"/>
        <v>557.6865165165168</v>
      </c>
      <c r="T881">
        <f t="shared" si="53"/>
        <v>153</v>
      </c>
      <c r="U881">
        <f t="shared" si="54"/>
        <v>1.9139139139139139</v>
      </c>
      <c r="V881">
        <f t="shared" si="55"/>
        <v>557.6865165165168</v>
      </c>
    </row>
    <row r="882" spans="1:22" x14ac:dyDescent="0.25">
      <c r="A882">
        <v>1375</v>
      </c>
      <c r="B882" s="1">
        <v>44391</v>
      </c>
      <c r="C882" t="s">
        <v>60</v>
      </c>
      <c r="D882" t="s">
        <v>18</v>
      </c>
      <c r="E882" t="s">
        <v>19</v>
      </c>
      <c r="F882" t="s">
        <v>33</v>
      </c>
      <c r="G882" t="s">
        <v>79</v>
      </c>
      <c r="H882" t="s">
        <v>74</v>
      </c>
      <c r="I882" t="s">
        <v>23</v>
      </c>
      <c r="J882" t="s">
        <v>24</v>
      </c>
      <c r="K882" t="s">
        <v>46</v>
      </c>
      <c r="L882">
        <v>1</v>
      </c>
      <c r="M882">
        <v>3</v>
      </c>
      <c r="N882">
        <v>2</v>
      </c>
      <c r="O882">
        <v>3</v>
      </c>
      <c r="P882">
        <v>880.9</v>
      </c>
      <c r="Q882">
        <v>22</v>
      </c>
      <c r="S882">
        <f t="shared" si="52"/>
        <v>557.6865165165168</v>
      </c>
      <c r="T882">
        <f t="shared" si="53"/>
        <v>153</v>
      </c>
      <c r="U882">
        <f t="shared" si="54"/>
        <v>1.9139139139139139</v>
      </c>
      <c r="V882">
        <f t="shared" si="55"/>
        <v>557.6865165165168</v>
      </c>
    </row>
    <row r="883" spans="1:22" x14ac:dyDescent="0.25">
      <c r="A883">
        <v>1376</v>
      </c>
      <c r="B883" s="1">
        <v>43802</v>
      </c>
      <c r="C883" t="s">
        <v>17</v>
      </c>
      <c r="D883" t="s">
        <v>18</v>
      </c>
      <c r="E883" t="s">
        <v>32</v>
      </c>
      <c r="F883" t="s">
        <v>33</v>
      </c>
      <c r="G883" t="s">
        <v>34</v>
      </c>
      <c r="H883" t="s">
        <v>41</v>
      </c>
      <c r="I883" t="s">
        <v>23</v>
      </c>
      <c r="J883" t="s">
        <v>24</v>
      </c>
      <c r="K883" t="s">
        <v>46</v>
      </c>
      <c r="L883">
        <v>4</v>
      </c>
      <c r="M883">
        <v>3</v>
      </c>
      <c r="N883">
        <v>5</v>
      </c>
      <c r="O883">
        <v>3</v>
      </c>
      <c r="P883">
        <v>795.72</v>
      </c>
      <c r="Q883">
        <v>61</v>
      </c>
      <c r="S883">
        <f t="shared" si="52"/>
        <v>557.6865165165168</v>
      </c>
      <c r="T883">
        <f t="shared" si="53"/>
        <v>153</v>
      </c>
      <c r="U883">
        <f t="shared" si="54"/>
        <v>1.9139139139139139</v>
      </c>
      <c r="V883">
        <f t="shared" si="55"/>
        <v>557.6865165165168</v>
      </c>
    </row>
    <row r="884" spans="1:22" x14ac:dyDescent="0.25">
      <c r="A884">
        <v>1377</v>
      </c>
      <c r="B884" s="1">
        <v>44258</v>
      </c>
      <c r="C884" t="s">
        <v>52</v>
      </c>
      <c r="D884" t="s">
        <v>18</v>
      </c>
      <c r="E884" t="s">
        <v>28</v>
      </c>
      <c r="F884" t="s">
        <v>27</v>
      </c>
      <c r="G884" t="s">
        <v>79</v>
      </c>
      <c r="H884" t="s">
        <v>38</v>
      </c>
      <c r="I884" t="s">
        <v>23</v>
      </c>
      <c r="J884" t="s">
        <v>24</v>
      </c>
      <c r="K884" t="s">
        <v>46</v>
      </c>
      <c r="L884">
        <v>5</v>
      </c>
      <c r="M884">
        <v>5</v>
      </c>
      <c r="N884">
        <v>4</v>
      </c>
      <c r="O884">
        <v>2</v>
      </c>
      <c r="P884">
        <v>909.56</v>
      </c>
      <c r="Q884">
        <v>53</v>
      </c>
      <c r="S884">
        <f t="shared" si="52"/>
        <v>557.6865165165168</v>
      </c>
      <c r="T884">
        <f t="shared" si="53"/>
        <v>153</v>
      </c>
      <c r="U884">
        <f t="shared" si="54"/>
        <v>1.9139139139139139</v>
      </c>
      <c r="V884">
        <f t="shared" si="55"/>
        <v>557.6865165165168</v>
      </c>
    </row>
    <row r="885" spans="1:22" x14ac:dyDescent="0.25">
      <c r="A885">
        <v>1378</v>
      </c>
      <c r="B885" s="1">
        <v>44725</v>
      </c>
      <c r="C885" t="s">
        <v>26</v>
      </c>
      <c r="D885" t="s">
        <v>18</v>
      </c>
      <c r="E885" t="s">
        <v>32</v>
      </c>
      <c r="F885" t="s">
        <v>20</v>
      </c>
      <c r="G885" t="s">
        <v>79</v>
      </c>
      <c r="H885" t="s">
        <v>63</v>
      </c>
      <c r="I885" t="s">
        <v>23</v>
      </c>
      <c r="J885" t="s">
        <v>24</v>
      </c>
      <c r="K885" t="s">
        <v>72</v>
      </c>
      <c r="L885">
        <v>1</v>
      </c>
      <c r="M885">
        <v>4</v>
      </c>
      <c r="N885">
        <v>5</v>
      </c>
      <c r="O885">
        <v>5</v>
      </c>
      <c r="P885">
        <v>145.69999999999999</v>
      </c>
      <c r="Q885">
        <v>47</v>
      </c>
      <c r="S885">
        <f t="shared" si="52"/>
        <v>557.6865165165168</v>
      </c>
      <c r="T885">
        <f t="shared" si="53"/>
        <v>153</v>
      </c>
      <c r="U885">
        <f t="shared" si="54"/>
        <v>1.9139139139139139</v>
      </c>
      <c r="V885">
        <f t="shared" si="55"/>
        <v>557.6865165165168</v>
      </c>
    </row>
    <row r="886" spans="1:22" x14ac:dyDescent="0.25">
      <c r="A886">
        <v>1379</v>
      </c>
      <c r="B886" s="1">
        <v>44949</v>
      </c>
      <c r="C886" t="s">
        <v>54</v>
      </c>
      <c r="D886" t="s">
        <v>18</v>
      </c>
      <c r="E886" t="s">
        <v>28</v>
      </c>
      <c r="F886" t="s">
        <v>27</v>
      </c>
      <c r="G886" t="s">
        <v>79</v>
      </c>
      <c r="H886" t="s">
        <v>35</v>
      </c>
      <c r="I886" t="s">
        <v>23</v>
      </c>
      <c r="J886" t="s">
        <v>30</v>
      </c>
      <c r="K886" t="s">
        <v>46</v>
      </c>
      <c r="L886">
        <v>5</v>
      </c>
      <c r="M886">
        <v>2</v>
      </c>
      <c r="N886">
        <v>5</v>
      </c>
      <c r="O886">
        <v>1</v>
      </c>
      <c r="P886">
        <v>397.48</v>
      </c>
      <c r="Q886">
        <v>39</v>
      </c>
      <c r="S886">
        <f t="shared" si="52"/>
        <v>557.6865165165168</v>
      </c>
      <c r="T886">
        <f t="shared" si="53"/>
        <v>153</v>
      </c>
      <c r="U886">
        <f t="shared" si="54"/>
        <v>1.9139139139139139</v>
      </c>
      <c r="V886">
        <f t="shared" si="55"/>
        <v>557.6865165165168</v>
      </c>
    </row>
    <row r="887" spans="1:22" x14ac:dyDescent="0.25">
      <c r="A887">
        <v>1380</v>
      </c>
      <c r="B887" s="1">
        <v>44080</v>
      </c>
      <c r="C887" t="s">
        <v>37</v>
      </c>
      <c r="D887" t="s">
        <v>18</v>
      </c>
      <c r="E887" t="s">
        <v>28</v>
      </c>
      <c r="F887" t="s">
        <v>27</v>
      </c>
      <c r="G887" t="s">
        <v>79</v>
      </c>
      <c r="H887" t="s">
        <v>41</v>
      </c>
      <c r="I887" t="s">
        <v>23</v>
      </c>
      <c r="J887" t="s">
        <v>30</v>
      </c>
      <c r="K887" t="s">
        <v>46</v>
      </c>
      <c r="L887">
        <v>1</v>
      </c>
      <c r="M887">
        <v>1</v>
      </c>
      <c r="N887">
        <v>2</v>
      </c>
      <c r="O887">
        <v>3</v>
      </c>
      <c r="P887">
        <v>326.7</v>
      </c>
      <c r="Q887">
        <v>67</v>
      </c>
      <c r="S887">
        <f t="shared" si="52"/>
        <v>557.6865165165168</v>
      </c>
      <c r="T887">
        <f t="shared" si="53"/>
        <v>153</v>
      </c>
      <c r="U887">
        <f t="shared" si="54"/>
        <v>1.9139139139139139</v>
      </c>
      <c r="V887">
        <f t="shared" si="55"/>
        <v>557.6865165165168</v>
      </c>
    </row>
    <row r="888" spans="1:22" x14ac:dyDescent="0.25">
      <c r="A888">
        <v>1381</v>
      </c>
      <c r="B888" s="1">
        <v>44851</v>
      </c>
      <c r="C888" t="s">
        <v>60</v>
      </c>
      <c r="D888" t="s">
        <v>18</v>
      </c>
      <c r="E888" t="s">
        <v>32</v>
      </c>
      <c r="F888" t="s">
        <v>27</v>
      </c>
      <c r="G888" t="s">
        <v>61</v>
      </c>
      <c r="H888" t="s">
        <v>29</v>
      </c>
      <c r="I888" t="s">
        <v>23</v>
      </c>
      <c r="J888" t="s">
        <v>24</v>
      </c>
      <c r="K888" t="s">
        <v>72</v>
      </c>
      <c r="L888">
        <v>2</v>
      </c>
      <c r="M888">
        <v>2</v>
      </c>
      <c r="N888">
        <v>1</v>
      </c>
      <c r="O888">
        <v>4</v>
      </c>
      <c r="P888">
        <v>718.16</v>
      </c>
      <c r="Q888">
        <v>22</v>
      </c>
      <c r="S888">
        <f t="shared" si="52"/>
        <v>557.6865165165168</v>
      </c>
      <c r="T888">
        <f t="shared" si="53"/>
        <v>153</v>
      </c>
      <c r="U888">
        <f t="shared" si="54"/>
        <v>1.9139139139139139</v>
      </c>
      <c r="V888">
        <f t="shared" si="55"/>
        <v>557.6865165165168</v>
      </c>
    </row>
    <row r="889" spans="1:22" x14ac:dyDescent="0.25">
      <c r="A889">
        <v>1382</v>
      </c>
      <c r="B889" s="1">
        <v>43623</v>
      </c>
      <c r="C889" t="s">
        <v>37</v>
      </c>
      <c r="D889" t="s">
        <v>18</v>
      </c>
      <c r="E889" t="s">
        <v>32</v>
      </c>
      <c r="F889" t="s">
        <v>33</v>
      </c>
      <c r="G889" t="s">
        <v>79</v>
      </c>
      <c r="H889" t="s">
        <v>41</v>
      </c>
      <c r="I889" t="s">
        <v>23</v>
      </c>
      <c r="J889" t="s">
        <v>24</v>
      </c>
      <c r="K889" t="s">
        <v>46</v>
      </c>
      <c r="L889">
        <v>2</v>
      </c>
      <c r="M889">
        <v>1</v>
      </c>
      <c r="N889">
        <v>1</v>
      </c>
      <c r="O889">
        <v>5</v>
      </c>
      <c r="P889">
        <v>162.46</v>
      </c>
      <c r="Q889">
        <v>51</v>
      </c>
      <c r="S889">
        <f t="shared" si="52"/>
        <v>557.6865165165168</v>
      </c>
      <c r="T889">
        <f t="shared" si="53"/>
        <v>153</v>
      </c>
      <c r="U889">
        <f t="shared" si="54"/>
        <v>1.9139139139139139</v>
      </c>
      <c r="V889">
        <f t="shared" si="55"/>
        <v>557.6865165165168</v>
      </c>
    </row>
    <row r="890" spans="1:22" x14ac:dyDescent="0.25">
      <c r="A890">
        <v>1383</v>
      </c>
      <c r="B890" s="1">
        <v>44589</v>
      </c>
      <c r="C890" t="s">
        <v>40</v>
      </c>
      <c r="D890" t="s">
        <v>18</v>
      </c>
      <c r="E890" t="s">
        <v>19</v>
      </c>
      <c r="F890" t="s">
        <v>20</v>
      </c>
      <c r="G890" t="s">
        <v>79</v>
      </c>
      <c r="H890" t="s">
        <v>38</v>
      </c>
      <c r="I890" t="s">
        <v>23</v>
      </c>
      <c r="J890" t="s">
        <v>24</v>
      </c>
      <c r="K890" t="s">
        <v>46</v>
      </c>
      <c r="L890">
        <v>4</v>
      </c>
      <c r="M890">
        <v>1</v>
      </c>
      <c r="N890">
        <v>5</v>
      </c>
      <c r="O890">
        <v>3</v>
      </c>
      <c r="P890">
        <v>924.64</v>
      </c>
      <c r="Q890">
        <v>28</v>
      </c>
      <c r="S890">
        <f t="shared" si="52"/>
        <v>557.6865165165168</v>
      </c>
      <c r="T890">
        <f t="shared" si="53"/>
        <v>153</v>
      </c>
      <c r="U890">
        <f t="shared" si="54"/>
        <v>1.9139139139139139</v>
      </c>
      <c r="V890">
        <f t="shared" si="55"/>
        <v>557.6865165165168</v>
      </c>
    </row>
    <row r="891" spans="1:22" x14ac:dyDescent="0.25">
      <c r="A891">
        <v>1384</v>
      </c>
      <c r="B891" s="1">
        <v>44013</v>
      </c>
      <c r="C891" t="s">
        <v>17</v>
      </c>
      <c r="D891" t="s">
        <v>18</v>
      </c>
      <c r="E891" t="s">
        <v>28</v>
      </c>
      <c r="F891" t="s">
        <v>33</v>
      </c>
      <c r="G891" t="s">
        <v>79</v>
      </c>
      <c r="H891" t="s">
        <v>41</v>
      </c>
      <c r="I891" t="s">
        <v>23</v>
      </c>
      <c r="J891" t="s">
        <v>24</v>
      </c>
      <c r="K891" t="s">
        <v>72</v>
      </c>
      <c r="L891">
        <v>2</v>
      </c>
      <c r="M891">
        <v>3</v>
      </c>
      <c r="N891">
        <v>4</v>
      </c>
      <c r="O891">
        <v>4</v>
      </c>
      <c r="P891">
        <v>628.48</v>
      </c>
      <c r="Q891">
        <v>64</v>
      </c>
      <c r="S891">
        <f t="shared" si="52"/>
        <v>557.6865165165168</v>
      </c>
      <c r="T891">
        <f t="shared" si="53"/>
        <v>153</v>
      </c>
      <c r="U891">
        <f t="shared" si="54"/>
        <v>1.9139139139139139</v>
      </c>
      <c r="V891">
        <f t="shared" si="55"/>
        <v>557.6865165165168</v>
      </c>
    </row>
    <row r="892" spans="1:22" x14ac:dyDescent="0.25">
      <c r="A892">
        <v>1385</v>
      </c>
      <c r="B892" s="1">
        <v>43981</v>
      </c>
      <c r="C892" t="s">
        <v>52</v>
      </c>
      <c r="D892" t="s">
        <v>18</v>
      </c>
      <c r="E892" t="s">
        <v>32</v>
      </c>
      <c r="F892" t="s">
        <v>20</v>
      </c>
      <c r="G892" t="s">
        <v>79</v>
      </c>
      <c r="H892" t="s">
        <v>41</v>
      </c>
      <c r="I892" t="s">
        <v>23</v>
      </c>
      <c r="J892" t="s">
        <v>24</v>
      </c>
      <c r="K892" t="s">
        <v>72</v>
      </c>
      <c r="L892">
        <v>3</v>
      </c>
      <c r="M892">
        <v>1</v>
      </c>
      <c r="N892">
        <v>3</v>
      </c>
      <c r="O892">
        <v>1</v>
      </c>
      <c r="P892">
        <v>678.07</v>
      </c>
      <c r="Q892">
        <v>54</v>
      </c>
      <c r="S892">
        <f t="shared" si="52"/>
        <v>557.6865165165168</v>
      </c>
      <c r="T892">
        <f t="shared" si="53"/>
        <v>153</v>
      </c>
      <c r="U892">
        <f t="shared" si="54"/>
        <v>1.9139139139139139</v>
      </c>
      <c r="V892">
        <f t="shared" si="55"/>
        <v>557.6865165165168</v>
      </c>
    </row>
    <row r="893" spans="1:22" x14ac:dyDescent="0.25">
      <c r="A893">
        <v>1386</v>
      </c>
      <c r="B893" s="1">
        <v>43743</v>
      </c>
      <c r="C893" t="s">
        <v>26</v>
      </c>
      <c r="D893" t="s">
        <v>18</v>
      </c>
      <c r="E893" t="s">
        <v>19</v>
      </c>
      <c r="F893" t="s">
        <v>20</v>
      </c>
      <c r="G893" t="s">
        <v>79</v>
      </c>
      <c r="H893" t="s">
        <v>38</v>
      </c>
      <c r="I893" t="s">
        <v>23</v>
      </c>
      <c r="J893" t="s">
        <v>24</v>
      </c>
      <c r="K893" t="s">
        <v>46</v>
      </c>
      <c r="L893">
        <v>2</v>
      </c>
      <c r="M893">
        <v>4</v>
      </c>
      <c r="N893">
        <v>5</v>
      </c>
      <c r="O893">
        <v>1</v>
      </c>
      <c r="P893">
        <v>106.91</v>
      </c>
      <c r="Q893">
        <v>43</v>
      </c>
      <c r="S893">
        <f t="shared" si="52"/>
        <v>557.6865165165168</v>
      </c>
      <c r="T893">
        <f t="shared" si="53"/>
        <v>153</v>
      </c>
      <c r="U893">
        <f t="shared" si="54"/>
        <v>1.9139139139139139</v>
      </c>
      <c r="V893">
        <f t="shared" si="55"/>
        <v>557.6865165165168</v>
      </c>
    </row>
    <row r="894" spans="1:22" x14ac:dyDescent="0.25">
      <c r="A894">
        <v>1387</v>
      </c>
      <c r="B894" s="1">
        <v>44506</v>
      </c>
      <c r="C894" t="s">
        <v>54</v>
      </c>
      <c r="D894" t="s">
        <v>18</v>
      </c>
      <c r="E894" t="s">
        <v>19</v>
      </c>
      <c r="F894" t="s">
        <v>33</v>
      </c>
      <c r="G894" t="s">
        <v>79</v>
      </c>
      <c r="H894" t="s">
        <v>38</v>
      </c>
      <c r="I894" t="s">
        <v>23</v>
      </c>
      <c r="J894" t="s">
        <v>30</v>
      </c>
      <c r="K894" t="s">
        <v>72</v>
      </c>
      <c r="L894">
        <v>5</v>
      </c>
      <c r="M894">
        <v>1</v>
      </c>
      <c r="N894">
        <v>2</v>
      </c>
      <c r="O894">
        <v>1</v>
      </c>
      <c r="P894">
        <v>195.95</v>
      </c>
      <c r="Q894">
        <v>70</v>
      </c>
      <c r="S894">
        <f t="shared" si="52"/>
        <v>557.6865165165168</v>
      </c>
      <c r="T894">
        <f t="shared" si="53"/>
        <v>153</v>
      </c>
      <c r="U894">
        <f t="shared" si="54"/>
        <v>1.9139139139139139</v>
      </c>
      <c r="V894">
        <f t="shared" si="55"/>
        <v>557.6865165165168</v>
      </c>
    </row>
    <row r="895" spans="1:22" x14ac:dyDescent="0.25">
      <c r="A895">
        <v>1388</v>
      </c>
      <c r="B895" s="1">
        <v>43594</v>
      </c>
      <c r="C895" t="s">
        <v>37</v>
      </c>
      <c r="D895" t="s">
        <v>18</v>
      </c>
      <c r="E895" t="s">
        <v>28</v>
      </c>
      <c r="F895" t="s">
        <v>33</v>
      </c>
      <c r="G895" t="s">
        <v>79</v>
      </c>
      <c r="H895" t="s">
        <v>41</v>
      </c>
      <c r="I895" t="s">
        <v>23</v>
      </c>
      <c r="J895" t="s">
        <v>24</v>
      </c>
      <c r="K895" t="s">
        <v>46</v>
      </c>
      <c r="L895">
        <v>5</v>
      </c>
      <c r="M895">
        <v>2</v>
      </c>
      <c r="N895">
        <v>4</v>
      </c>
      <c r="O895">
        <v>1</v>
      </c>
      <c r="P895">
        <v>918.34</v>
      </c>
      <c r="Q895">
        <v>49</v>
      </c>
      <c r="S895">
        <f t="shared" si="52"/>
        <v>557.6865165165168</v>
      </c>
      <c r="T895">
        <f t="shared" si="53"/>
        <v>153</v>
      </c>
      <c r="U895">
        <f t="shared" si="54"/>
        <v>1.9139139139139139</v>
      </c>
      <c r="V895">
        <f t="shared" si="55"/>
        <v>557.6865165165168</v>
      </c>
    </row>
    <row r="896" spans="1:22" x14ac:dyDescent="0.25">
      <c r="A896">
        <v>1389</v>
      </c>
      <c r="B896" s="1">
        <v>43766</v>
      </c>
      <c r="C896" t="s">
        <v>49</v>
      </c>
      <c r="D896" t="s">
        <v>18</v>
      </c>
      <c r="E896" t="s">
        <v>28</v>
      </c>
      <c r="F896" t="s">
        <v>27</v>
      </c>
      <c r="G896" t="s">
        <v>21</v>
      </c>
      <c r="H896" t="s">
        <v>80</v>
      </c>
      <c r="I896" t="s">
        <v>23</v>
      </c>
      <c r="J896" t="s">
        <v>30</v>
      </c>
      <c r="K896" t="s">
        <v>46</v>
      </c>
      <c r="L896">
        <v>4</v>
      </c>
      <c r="M896">
        <v>4</v>
      </c>
      <c r="N896">
        <v>3</v>
      </c>
      <c r="O896">
        <v>3</v>
      </c>
      <c r="P896">
        <v>425.34</v>
      </c>
      <c r="Q896">
        <v>57</v>
      </c>
      <c r="S896">
        <f t="shared" si="52"/>
        <v>557.6865165165168</v>
      </c>
      <c r="T896">
        <f t="shared" si="53"/>
        <v>153</v>
      </c>
      <c r="U896">
        <f t="shared" si="54"/>
        <v>1.9139139139139139</v>
      </c>
      <c r="V896">
        <f t="shared" si="55"/>
        <v>557.6865165165168</v>
      </c>
    </row>
    <row r="897" spans="1:22" x14ac:dyDescent="0.25">
      <c r="A897">
        <v>1390</v>
      </c>
      <c r="B897" s="1">
        <v>43476</v>
      </c>
      <c r="C897" t="s">
        <v>52</v>
      </c>
      <c r="D897" t="s">
        <v>18</v>
      </c>
      <c r="E897" t="s">
        <v>19</v>
      </c>
      <c r="F897" t="s">
        <v>20</v>
      </c>
      <c r="G897" t="s">
        <v>21</v>
      </c>
      <c r="H897" t="s">
        <v>38</v>
      </c>
      <c r="I897" t="s">
        <v>23</v>
      </c>
      <c r="J897" t="s">
        <v>30</v>
      </c>
      <c r="K897" t="s">
        <v>46</v>
      </c>
      <c r="L897">
        <v>2</v>
      </c>
      <c r="M897">
        <v>3</v>
      </c>
      <c r="N897">
        <v>4</v>
      </c>
      <c r="O897">
        <v>3</v>
      </c>
      <c r="P897">
        <v>512.53</v>
      </c>
      <c r="Q897">
        <v>64</v>
      </c>
      <c r="S897">
        <f t="shared" si="52"/>
        <v>557.6865165165168</v>
      </c>
      <c r="T897">
        <f t="shared" si="53"/>
        <v>153</v>
      </c>
      <c r="U897">
        <f t="shared" si="54"/>
        <v>1.9139139139139139</v>
      </c>
      <c r="V897">
        <f t="shared" si="55"/>
        <v>557.6865165165168</v>
      </c>
    </row>
    <row r="898" spans="1:22" x14ac:dyDescent="0.25">
      <c r="A898">
        <v>1391</v>
      </c>
      <c r="B898" s="1">
        <v>43923</v>
      </c>
      <c r="C898" t="s">
        <v>54</v>
      </c>
      <c r="D898" t="s">
        <v>18</v>
      </c>
      <c r="E898" t="s">
        <v>19</v>
      </c>
      <c r="F898" t="s">
        <v>27</v>
      </c>
      <c r="G898" t="s">
        <v>21</v>
      </c>
      <c r="H898" t="s">
        <v>69</v>
      </c>
      <c r="I898" t="s">
        <v>23</v>
      </c>
      <c r="J898" t="s">
        <v>24</v>
      </c>
      <c r="K898" t="s">
        <v>64</v>
      </c>
      <c r="L898">
        <v>4</v>
      </c>
      <c r="M898">
        <v>1</v>
      </c>
      <c r="N898">
        <v>1</v>
      </c>
      <c r="O898">
        <v>3</v>
      </c>
      <c r="P898">
        <v>146.47999999999999</v>
      </c>
      <c r="Q898">
        <v>79</v>
      </c>
      <c r="S898">
        <f t="shared" ref="S898:S961" si="56">AVERAGE(P:P)-1</f>
        <v>557.6865165165168</v>
      </c>
      <c r="T898">
        <f t="shared" ref="T898:T961" si="57">COUNTIF(D:D,"Inactive")</f>
        <v>153</v>
      </c>
      <c r="U898">
        <f t="shared" ref="U898:U961" si="58">AVERAGE(L:L)-1</f>
        <v>1.9139139139139139</v>
      </c>
      <c r="V898">
        <f t="shared" ref="V898:V961" si="59">AVERAGE(P:P)-1</f>
        <v>557.6865165165168</v>
      </c>
    </row>
    <row r="899" spans="1:22" x14ac:dyDescent="0.25">
      <c r="A899">
        <v>1392</v>
      </c>
      <c r="B899" s="1">
        <v>43623</v>
      </c>
      <c r="C899" t="s">
        <v>31</v>
      </c>
      <c r="D899" t="s">
        <v>18</v>
      </c>
      <c r="E899" t="s">
        <v>28</v>
      </c>
      <c r="F899" t="s">
        <v>27</v>
      </c>
      <c r="G899" t="s">
        <v>21</v>
      </c>
      <c r="H899" t="s">
        <v>41</v>
      </c>
      <c r="I899" t="s">
        <v>23</v>
      </c>
      <c r="J899" t="s">
        <v>24</v>
      </c>
      <c r="K899" t="s">
        <v>46</v>
      </c>
      <c r="L899">
        <v>4</v>
      </c>
      <c r="M899">
        <v>4</v>
      </c>
      <c r="N899">
        <v>3</v>
      </c>
      <c r="O899">
        <v>3</v>
      </c>
      <c r="P899">
        <v>578.62</v>
      </c>
      <c r="Q899">
        <v>64</v>
      </c>
      <c r="S899">
        <f t="shared" si="56"/>
        <v>557.6865165165168</v>
      </c>
      <c r="T899">
        <f t="shared" si="57"/>
        <v>153</v>
      </c>
      <c r="U899">
        <f t="shared" si="58"/>
        <v>1.9139139139139139</v>
      </c>
      <c r="V899">
        <f t="shared" si="59"/>
        <v>557.6865165165168</v>
      </c>
    </row>
    <row r="900" spans="1:22" x14ac:dyDescent="0.25">
      <c r="A900">
        <v>1393</v>
      </c>
      <c r="B900" s="1">
        <v>44522</v>
      </c>
      <c r="C900" t="s">
        <v>52</v>
      </c>
      <c r="D900" t="s">
        <v>18</v>
      </c>
      <c r="E900" t="s">
        <v>28</v>
      </c>
      <c r="F900" t="s">
        <v>20</v>
      </c>
      <c r="G900" t="s">
        <v>21</v>
      </c>
      <c r="H900" t="s">
        <v>38</v>
      </c>
      <c r="I900" t="s">
        <v>23</v>
      </c>
      <c r="J900" t="s">
        <v>24</v>
      </c>
      <c r="K900" t="s">
        <v>46</v>
      </c>
      <c r="L900">
        <v>4</v>
      </c>
      <c r="M900">
        <v>4</v>
      </c>
      <c r="N900">
        <v>4</v>
      </c>
      <c r="O900">
        <v>3</v>
      </c>
      <c r="P900">
        <v>255.61</v>
      </c>
      <c r="Q900">
        <v>74</v>
      </c>
      <c r="S900">
        <f t="shared" si="56"/>
        <v>557.6865165165168</v>
      </c>
      <c r="T900">
        <f t="shared" si="57"/>
        <v>153</v>
      </c>
      <c r="U900">
        <f t="shared" si="58"/>
        <v>1.9139139139139139</v>
      </c>
      <c r="V900">
        <f t="shared" si="59"/>
        <v>557.6865165165168</v>
      </c>
    </row>
    <row r="901" spans="1:22" x14ac:dyDescent="0.25">
      <c r="A901">
        <v>1394</v>
      </c>
      <c r="B901" s="1">
        <v>43484</v>
      </c>
      <c r="C901" t="s">
        <v>49</v>
      </c>
      <c r="D901" t="s">
        <v>18</v>
      </c>
      <c r="E901" t="s">
        <v>32</v>
      </c>
      <c r="F901" t="s">
        <v>27</v>
      </c>
      <c r="G901" t="s">
        <v>21</v>
      </c>
      <c r="H901" t="s">
        <v>41</v>
      </c>
      <c r="I901" t="s">
        <v>23</v>
      </c>
      <c r="J901" t="s">
        <v>30</v>
      </c>
      <c r="K901" t="s">
        <v>46</v>
      </c>
      <c r="L901">
        <v>1</v>
      </c>
      <c r="M901">
        <v>2</v>
      </c>
      <c r="N901">
        <v>2</v>
      </c>
      <c r="O901">
        <v>5</v>
      </c>
      <c r="P901">
        <v>370.26</v>
      </c>
      <c r="Q901">
        <v>76</v>
      </c>
      <c r="S901">
        <f t="shared" si="56"/>
        <v>557.6865165165168</v>
      </c>
      <c r="T901">
        <f t="shared" si="57"/>
        <v>153</v>
      </c>
      <c r="U901">
        <f t="shared" si="58"/>
        <v>1.9139139139139139</v>
      </c>
      <c r="V901">
        <f t="shared" si="59"/>
        <v>557.6865165165168</v>
      </c>
    </row>
    <row r="902" spans="1:22" x14ac:dyDescent="0.25">
      <c r="A902">
        <v>1395</v>
      </c>
      <c r="B902" s="1">
        <v>44547</v>
      </c>
      <c r="C902" t="s">
        <v>52</v>
      </c>
      <c r="D902" t="s">
        <v>84</v>
      </c>
      <c r="E902" t="s">
        <v>32</v>
      </c>
      <c r="F902" t="s">
        <v>20</v>
      </c>
      <c r="G902" t="s">
        <v>21</v>
      </c>
      <c r="H902" t="s">
        <v>38</v>
      </c>
      <c r="I902" t="s">
        <v>23</v>
      </c>
      <c r="J902" t="s">
        <v>30</v>
      </c>
      <c r="K902" t="s">
        <v>46</v>
      </c>
      <c r="L902">
        <v>4</v>
      </c>
      <c r="M902">
        <v>1</v>
      </c>
      <c r="N902">
        <v>2</v>
      </c>
      <c r="O902">
        <v>2</v>
      </c>
      <c r="P902">
        <v>302.97000000000003</v>
      </c>
      <c r="Q902">
        <v>61</v>
      </c>
      <c r="S902">
        <f t="shared" si="56"/>
        <v>557.6865165165168</v>
      </c>
      <c r="T902">
        <f t="shared" si="57"/>
        <v>153</v>
      </c>
      <c r="U902">
        <f t="shared" si="58"/>
        <v>1.9139139139139139</v>
      </c>
      <c r="V902">
        <f t="shared" si="59"/>
        <v>557.6865165165168</v>
      </c>
    </row>
    <row r="903" spans="1:22" x14ac:dyDescent="0.25">
      <c r="A903">
        <v>1396</v>
      </c>
      <c r="B903" s="1">
        <v>43589</v>
      </c>
      <c r="C903" t="s">
        <v>52</v>
      </c>
      <c r="D903" t="s">
        <v>18</v>
      </c>
      <c r="E903" t="s">
        <v>28</v>
      </c>
      <c r="F903" t="s">
        <v>27</v>
      </c>
      <c r="G903" t="s">
        <v>21</v>
      </c>
      <c r="H903" t="s">
        <v>44</v>
      </c>
      <c r="I903" t="s">
        <v>23</v>
      </c>
      <c r="J903" t="s">
        <v>24</v>
      </c>
      <c r="K903" t="s">
        <v>46</v>
      </c>
      <c r="L903">
        <v>2</v>
      </c>
      <c r="M903">
        <v>1</v>
      </c>
      <c r="N903">
        <v>3</v>
      </c>
      <c r="O903">
        <v>3</v>
      </c>
      <c r="P903">
        <v>632.28</v>
      </c>
      <c r="Q903">
        <v>63</v>
      </c>
      <c r="S903">
        <f t="shared" si="56"/>
        <v>557.6865165165168</v>
      </c>
      <c r="T903">
        <f t="shared" si="57"/>
        <v>153</v>
      </c>
      <c r="U903">
        <f t="shared" si="58"/>
        <v>1.9139139139139139</v>
      </c>
      <c r="V903">
        <f t="shared" si="59"/>
        <v>557.6865165165168</v>
      </c>
    </row>
    <row r="904" spans="1:22" x14ac:dyDescent="0.25">
      <c r="A904">
        <v>1397</v>
      </c>
      <c r="B904" s="1">
        <v>43459</v>
      </c>
      <c r="C904" t="s">
        <v>54</v>
      </c>
      <c r="D904" t="s">
        <v>18</v>
      </c>
      <c r="E904" t="s">
        <v>19</v>
      </c>
      <c r="F904" t="s">
        <v>27</v>
      </c>
      <c r="G904" t="s">
        <v>21</v>
      </c>
      <c r="H904" t="s">
        <v>38</v>
      </c>
      <c r="I904" t="s">
        <v>23</v>
      </c>
      <c r="J904" t="s">
        <v>30</v>
      </c>
      <c r="K904" t="s">
        <v>46</v>
      </c>
      <c r="L904">
        <v>3</v>
      </c>
      <c r="M904">
        <v>2</v>
      </c>
      <c r="N904">
        <v>3</v>
      </c>
      <c r="O904">
        <v>2</v>
      </c>
      <c r="P904">
        <v>669.41</v>
      </c>
      <c r="Q904">
        <v>37</v>
      </c>
      <c r="S904">
        <f t="shared" si="56"/>
        <v>557.6865165165168</v>
      </c>
      <c r="T904">
        <f t="shared" si="57"/>
        <v>153</v>
      </c>
      <c r="U904">
        <f t="shared" si="58"/>
        <v>1.9139139139139139</v>
      </c>
      <c r="V904">
        <f t="shared" si="59"/>
        <v>557.6865165165168</v>
      </c>
    </row>
    <row r="905" spans="1:22" x14ac:dyDescent="0.25">
      <c r="A905">
        <v>1398</v>
      </c>
      <c r="B905" s="1">
        <v>44199</v>
      </c>
      <c r="C905" t="s">
        <v>60</v>
      </c>
      <c r="D905" t="s">
        <v>18</v>
      </c>
      <c r="E905" t="s">
        <v>28</v>
      </c>
      <c r="F905" t="s">
        <v>20</v>
      </c>
      <c r="G905" t="s">
        <v>21</v>
      </c>
      <c r="H905" t="s">
        <v>56</v>
      </c>
      <c r="I905" t="s">
        <v>23</v>
      </c>
      <c r="J905" t="s">
        <v>24</v>
      </c>
      <c r="K905" t="s">
        <v>64</v>
      </c>
      <c r="L905">
        <v>1</v>
      </c>
      <c r="M905">
        <v>1</v>
      </c>
      <c r="N905">
        <v>1</v>
      </c>
      <c r="O905">
        <v>3</v>
      </c>
      <c r="P905">
        <v>191.99</v>
      </c>
      <c r="Q905">
        <v>49</v>
      </c>
      <c r="S905">
        <f t="shared" si="56"/>
        <v>557.6865165165168</v>
      </c>
      <c r="T905">
        <f t="shared" si="57"/>
        <v>153</v>
      </c>
      <c r="U905">
        <f t="shared" si="58"/>
        <v>1.9139139139139139</v>
      </c>
      <c r="V905">
        <f t="shared" si="59"/>
        <v>557.6865165165168</v>
      </c>
    </row>
    <row r="906" spans="1:22" x14ac:dyDescent="0.25">
      <c r="A906">
        <v>1399</v>
      </c>
      <c r="B906" s="1">
        <v>45092</v>
      </c>
      <c r="C906" t="s">
        <v>40</v>
      </c>
      <c r="D906" t="s">
        <v>18</v>
      </c>
      <c r="E906" t="s">
        <v>28</v>
      </c>
      <c r="F906" t="s">
        <v>20</v>
      </c>
      <c r="G906" t="s">
        <v>21</v>
      </c>
      <c r="H906" t="s">
        <v>38</v>
      </c>
      <c r="I906" t="s">
        <v>23</v>
      </c>
      <c r="J906" t="s">
        <v>24</v>
      </c>
      <c r="K906" t="s">
        <v>64</v>
      </c>
      <c r="L906">
        <v>1</v>
      </c>
      <c r="M906">
        <v>4</v>
      </c>
      <c r="N906">
        <v>4</v>
      </c>
      <c r="O906">
        <v>2</v>
      </c>
      <c r="P906">
        <v>695.11</v>
      </c>
      <c r="Q906">
        <v>46</v>
      </c>
      <c r="S906">
        <f t="shared" si="56"/>
        <v>557.6865165165168</v>
      </c>
      <c r="T906">
        <f t="shared" si="57"/>
        <v>153</v>
      </c>
      <c r="U906">
        <f t="shared" si="58"/>
        <v>1.9139139139139139</v>
      </c>
      <c r="V906">
        <f t="shared" si="59"/>
        <v>557.6865165165168</v>
      </c>
    </row>
    <row r="907" spans="1:22" x14ac:dyDescent="0.25">
      <c r="A907">
        <v>1400</v>
      </c>
      <c r="B907" s="1">
        <v>43341</v>
      </c>
      <c r="C907" t="s">
        <v>49</v>
      </c>
      <c r="D907" t="s">
        <v>18</v>
      </c>
      <c r="E907" t="s">
        <v>32</v>
      </c>
      <c r="F907" t="s">
        <v>33</v>
      </c>
      <c r="G907" t="s">
        <v>21</v>
      </c>
      <c r="H907" t="s">
        <v>41</v>
      </c>
      <c r="I907" t="s">
        <v>23</v>
      </c>
      <c r="J907" t="s">
        <v>24</v>
      </c>
      <c r="K907" t="s">
        <v>46</v>
      </c>
      <c r="L907">
        <v>2</v>
      </c>
      <c r="M907">
        <v>3</v>
      </c>
      <c r="N907">
        <v>3</v>
      </c>
      <c r="O907">
        <v>2</v>
      </c>
      <c r="P907">
        <v>634.91999999999996</v>
      </c>
      <c r="Q907">
        <v>63</v>
      </c>
      <c r="S907">
        <f t="shared" si="56"/>
        <v>557.6865165165168</v>
      </c>
      <c r="T907">
        <f t="shared" si="57"/>
        <v>153</v>
      </c>
      <c r="U907">
        <f t="shared" si="58"/>
        <v>1.9139139139139139</v>
      </c>
      <c r="V907">
        <f t="shared" si="59"/>
        <v>557.6865165165168</v>
      </c>
    </row>
    <row r="908" spans="1:22" x14ac:dyDescent="0.25">
      <c r="A908">
        <v>1401</v>
      </c>
      <c r="B908" s="1">
        <v>43469</v>
      </c>
      <c r="C908" t="s">
        <v>31</v>
      </c>
      <c r="D908" t="s">
        <v>18</v>
      </c>
      <c r="E908" t="s">
        <v>19</v>
      </c>
      <c r="F908" t="s">
        <v>33</v>
      </c>
      <c r="G908" t="s">
        <v>21</v>
      </c>
      <c r="H908" t="s">
        <v>56</v>
      </c>
      <c r="I908" t="s">
        <v>23</v>
      </c>
      <c r="J908" t="s">
        <v>30</v>
      </c>
      <c r="K908" t="s">
        <v>46</v>
      </c>
      <c r="L908">
        <v>2</v>
      </c>
      <c r="M908">
        <v>5</v>
      </c>
      <c r="N908">
        <v>3</v>
      </c>
      <c r="O908">
        <v>5</v>
      </c>
      <c r="P908">
        <v>873.98</v>
      </c>
      <c r="Q908">
        <v>52</v>
      </c>
      <c r="S908">
        <f t="shared" si="56"/>
        <v>557.6865165165168</v>
      </c>
      <c r="T908">
        <f t="shared" si="57"/>
        <v>153</v>
      </c>
      <c r="U908">
        <f t="shared" si="58"/>
        <v>1.9139139139139139</v>
      </c>
      <c r="V908">
        <f t="shared" si="59"/>
        <v>557.6865165165168</v>
      </c>
    </row>
    <row r="909" spans="1:22" x14ac:dyDescent="0.25">
      <c r="A909">
        <v>1402</v>
      </c>
      <c r="B909" s="1">
        <v>44449</v>
      </c>
      <c r="C909" t="s">
        <v>54</v>
      </c>
      <c r="D909" t="s">
        <v>18</v>
      </c>
      <c r="E909" t="s">
        <v>32</v>
      </c>
      <c r="F909" t="s">
        <v>33</v>
      </c>
      <c r="G909" t="s">
        <v>21</v>
      </c>
      <c r="H909" t="s">
        <v>35</v>
      </c>
      <c r="I909" t="s">
        <v>23</v>
      </c>
      <c r="J909" t="s">
        <v>24</v>
      </c>
      <c r="K909" t="s">
        <v>46</v>
      </c>
      <c r="L909">
        <v>2</v>
      </c>
      <c r="M909">
        <v>4</v>
      </c>
      <c r="N909">
        <v>4</v>
      </c>
      <c r="O909">
        <v>3</v>
      </c>
      <c r="P909">
        <v>602.33000000000004</v>
      </c>
      <c r="Q909">
        <v>33</v>
      </c>
      <c r="S909">
        <f t="shared" si="56"/>
        <v>557.6865165165168</v>
      </c>
      <c r="T909">
        <f t="shared" si="57"/>
        <v>153</v>
      </c>
      <c r="U909">
        <f t="shared" si="58"/>
        <v>1.9139139139139139</v>
      </c>
      <c r="V909">
        <f t="shared" si="59"/>
        <v>557.6865165165168</v>
      </c>
    </row>
    <row r="910" spans="1:22" x14ac:dyDescent="0.25">
      <c r="A910">
        <v>1403</v>
      </c>
      <c r="B910" s="1">
        <v>44385</v>
      </c>
      <c r="C910" t="s">
        <v>52</v>
      </c>
      <c r="D910" t="s">
        <v>18</v>
      </c>
      <c r="E910" t="s">
        <v>32</v>
      </c>
      <c r="F910" t="s">
        <v>33</v>
      </c>
      <c r="G910" t="s">
        <v>21</v>
      </c>
      <c r="H910" t="s">
        <v>41</v>
      </c>
      <c r="I910" t="s">
        <v>23</v>
      </c>
      <c r="J910" t="s">
        <v>24</v>
      </c>
      <c r="K910" t="s">
        <v>46</v>
      </c>
      <c r="L910">
        <v>1</v>
      </c>
      <c r="M910">
        <v>3</v>
      </c>
      <c r="N910">
        <v>2</v>
      </c>
      <c r="O910">
        <v>3</v>
      </c>
      <c r="P910">
        <v>807.02</v>
      </c>
      <c r="Q910">
        <v>77</v>
      </c>
      <c r="S910">
        <f t="shared" si="56"/>
        <v>557.6865165165168</v>
      </c>
      <c r="T910">
        <f t="shared" si="57"/>
        <v>153</v>
      </c>
      <c r="U910">
        <f t="shared" si="58"/>
        <v>1.9139139139139139</v>
      </c>
      <c r="V910">
        <f t="shared" si="59"/>
        <v>557.6865165165168</v>
      </c>
    </row>
    <row r="911" spans="1:22" x14ac:dyDescent="0.25">
      <c r="A911">
        <v>1404</v>
      </c>
      <c r="B911" s="1">
        <v>43405</v>
      </c>
      <c r="C911" t="s">
        <v>40</v>
      </c>
      <c r="D911" t="s">
        <v>84</v>
      </c>
      <c r="E911" t="s">
        <v>19</v>
      </c>
      <c r="F911" t="s">
        <v>33</v>
      </c>
      <c r="G911" t="s">
        <v>21</v>
      </c>
      <c r="H911" t="s">
        <v>22</v>
      </c>
      <c r="I911" t="s">
        <v>23</v>
      </c>
      <c r="J911" t="s">
        <v>30</v>
      </c>
      <c r="K911" t="s">
        <v>46</v>
      </c>
      <c r="L911">
        <v>1</v>
      </c>
      <c r="M911">
        <v>2</v>
      </c>
      <c r="N911">
        <v>2</v>
      </c>
      <c r="O911">
        <v>4</v>
      </c>
      <c r="P911">
        <v>411.94</v>
      </c>
      <c r="Q911">
        <v>40</v>
      </c>
      <c r="S911">
        <f t="shared" si="56"/>
        <v>557.6865165165168</v>
      </c>
      <c r="T911">
        <f t="shared" si="57"/>
        <v>153</v>
      </c>
      <c r="U911">
        <f t="shared" si="58"/>
        <v>1.9139139139139139</v>
      </c>
      <c r="V911">
        <f t="shared" si="59"/>
        <v>557.6865165165168</v>
      </c>
    </row>
    <row r="912" spans="1:22" x14ac:dyDescent="0.25">
      <c r="A912">
        <v>1405</v>
      </c>
      <c r="B912" s="1">
        <v>43442</v>
      </c>
      <c r="C912" t="s">
        <v>31</v>
      </c>
      <c r="D912" t="s">
        <v>18</v>
      </c>
      <c r="E912" t="s">
        <v>28</v>
      </c>
      <c r="F912" t="s">
        <v>27</v>
      </c>
      <c r="G912" t="s">
        <v>21</v>
      </c>
      <c r="H912" t="s">
        <v>41</v>
      </c>
      <c r="I912" t="s">
        <v>23</v>
      </c>
      <c r="J912" t="s">
        <v>24</v>
      </c>
      <c r="K912" t="s">
        <v>46</v>
      </c>
      <c r="L912">
        <v>3</v>
      </c>
      <c r="M912">
        <v>3</v>
      </c>
      <c r="N912">
        <v>3</v>
      </c>
      <c r="O912">
        <v>4</v>
      </c>
      <c r="P912">
        <v>537.73</v>
      </c>
      <c r="Q912">
        <v>41</v>
      </c>
      <c r="S912">
        <f t="shared" si="56"/>
        <v>557.6865165165168</v>
      </c>
      <c r="T912">
        <f t="shared" si="57"/>
        <v>153</v>
      </c>
      <c r="U912">
        <f t="shared" si="58"/>
        <v>1.9139139139139139</v>
      </c>
      <c r="V912">
        <f t="shared" si="59"/>
        <v>557.6865165165168</v>
      </c>
    </row>
    <row r="913" spans="1:22" x14ac:dyDescent="0.25">
      <c r="A913">
        <v>1406</v>
      </c>
      <c r="B913" s="1">
        <v>44859</v>
      </c>
      <c r="C913" t="s">
        <v>60</v>
      </c>
      <c r="D913" t="s">
        <v>18</v>
      </c>
      <c r="E913" t="s">
        <v>28</v>
      </c>
      <c r="F913" t="s">
        <v>27</v>
      </c>
      <c r="G913" t="s">
        <v>21</v>
      </c>
      <c r="H913" t="s">
        <v>38</v>
      </c>
      <c r="I913" t="s">
        <v>23</v>
      </c>
      <c r="J913" t="s">
        <v>24</v>
      </c>
      <c r="K913" t="s">
        <v>46</v>
      </c>
      <c r="L913">
        <v>4</v>
      </c>
      <c r="M913">
        <v>1</v>
      </c>
      <c r="N913">
        <v>5</v>
      </c>
      <c r="O913">
        <v>5</v>
      </c>
      <c r="P913">
        <v>930.1</v>
      </c>
      <c r="Q913">
        <v>40</v>
      </c>
      <c r="S913">
        <f t="shared" si="56"/>
        <v>557.6865165165168</v>
      </c>
      <c r="T913">
        <f t="shared" si="57"/>
        <v>153</v>
      </c>
      <c r="U913">
        <f t="shared" si="58"/>
        <v>1.9139139139139139</v>
      </c>
      <c r="V913">
        <f t="shared" si="59"/>
        <v>557.6865165165168</v>
      </c>
    </row>
    <row r="914" spans="1:22" x14ac:dyDescent="0.25">
      <c r="A914">
        <v>1407</v>
      </c>
      <c r="B914" s="1">
        <v>45020</v>
      </c>
      <c r="C914" t="s">
        <v>37</v>
      </c>
      <c r="D914" t="s">
        <v>18</v>
      </c>
      <c r="E914" t="s">
        <v>32</v>
      </c>
      <c r="F914" t="s">
        <v>33</v>
      </c>
      <c r="G914" t="s">
        <v>21</v>
      </c>
      <c r="H914" t="s">
        <v>35</v>
      </c>
      <c r="I914" t="s">
        <v>23</v>
      </c>
      <c r="J914" t="s">
        <v>30</v>
      </c>
      <c r="K914" t="s">
        <v>46</v>
      </c>
      <c r="L914">
        <v>3</v>
      </c>
      <c r="M914">
        <v>3</v>
      </c>
      <c r="N914">
        <v>1</v>
      </c>
      <c r="O914">
        <v>3</v>
      </c>
      <c r="P914">
        <v>249.66</v>
      </c>
      <c r="Q914">
        <v>40</v>
      </c>
      <c r="S914">
        <f t="shared" si="56"/>
        <v>557.6865165165168</v>
      </c>
      <c r="T914">
        <f t="shared" si="57"/>
        <v>153</v>
      </c>
      <c r="U914">
        <f t="shared" si="58"/>
        <v>1.9139139139139139</v>
      </c>
      <c r="V914">
        <f t="shared" si="59"/>
        <v>557.6865165165168</v>
      </c>
    </row>
    <row r="915" spans="1:22" x14ac:dyDescent="0.25">
      <c r="A915">
        <v>1408</v>
      </c>
      <c r="B915" s="1">
        <v>44272</v>
      </c>
      <c r="C915" t="s">
        <v>31</v>
      </c>
      <c r="D915" t="s">
        <v>18</v>
      </c>
      <c r="E915" t="s">
        <v>19</v>
      </c>
      <c r="F915" t="s">
        <v>33</v>
      </c>
      <c r="G915" t="s">
        <v>21</v>
      </c>
      <c r="H915" t="s">
        <v>41</v>
      </c>
      <c r="I915" t="s">
        <v>23</v>
      </c>
      <c r="J915" t="s">
        <v>24</v>
      </c>
      <c r="K915" t="s">
        <v>46</v>
      </c>
      <c r="L915">
        <v>3</v>
      </c>
      <c r="M915">
        <v>3</v>
      </c>
      <c r="N915">
        <v>3</v>
      </c>
      <c r="O915">
        <v>5</v>
      </c>
      <c r="P915">
        <v>691.82</v>
      </c>
      <c r="Q915">
        <v>41</v>
      </c>
      <c r="S915">
        <f t="shared" si="56"/>
        <v>557.6865165165168</v>
      </c>
      <c r="T915">
        <f t="shared" si="57"/>
        <v>153</v>
      </c>
      <c r="U915">
        <f t="shared" si="58"/>
        <v>1.9139139139139139</v>
      </c>
      <c r="V915">
        <f t="shared" si="59"/>
        <v>557.6865165165168</v>
      </c>
    </row>
    <row r="916" spans="1:22" x14ac:dyDescent="0.25">
      <c r="A916">
        <v>1409</v>
      </c>
      <c r="B916" s="1">
        <v>43535</v>
      </c>
      <c r="C916" t="s">
        <v>54</v>
      </c>
      <c r="D916" t="s">
        <v>84</v>
      </c>
      <c r="E916" t="s">
        <v>32</v>
      </c>
      <c r="F916" t="s">
        <v>27</v>
      </c>
      <c r="G916" t="s">
        <v>21</v>
      </c>
      <c r="H916" t="s">
        <v>38</v>
      </c>
      <c r="I916" t="s">
        <v>23</v>
      </c>
      <c r="J916" t="s">
        <v>24</v>
      </c>
      <c r="K916" t="s">
        <v>46</v>
      </c>
      <c r="L916">
        <v>2</v>
      </c>
      <c r="M916">
        <v>2</v>
      </c>
      <c r="N916">
        <v>1</v>
      </c>
      <c r="O916">
        <v>4</v>
      </c>
      <c r="P916">
        <v>938.59</v>
      </c>
      <c r="Q916">
        <v>38</v>
      </c>
      <c r="S916">
        <f t="shared" si="56"/>
        <v>557.6865165165168</v>
      </c>
      <c r="T916">
        <f t="shared" si="57"/>
        <v>153</v>
      </c>
      <c r="U916">
        <f t="shared" si="58"/>
        <v>1.9139139139139139</v>
      </c>
      <c r="V916">
        <f t="shared" si="59"/>
        <v>557.6865165165168</v>
      </c>
    </row>
    <row r="917" spans="1:22" x14ac:dyDescent="0.25">
      <c r="A917">
        <v>1410</v>
      </c>
      <c r="B917" s="1">
        <v>44617</v>
      </c>
      <c r="C917" t="s">
        <v>52</v>
      </c>
      <c r="D917" t="s">
        <v>18</v>
      </c>
      <c r="E917" t="s">
        <v>19</v>
      </c>
      <c r="F917" t="s">
        <v>20</v>
      </c>
      <c r="G917" t="s">
        <v>21</v>
      </c>
      <c r="H917" t="s">
        <v>67</v>
      </c>
      <c r="I917" t="s">
        <v>23</v>
      </c>
      <c r="J917" t="s">
        <v>24</v>
      </c>
      <c r="K917" t="s">
        <v>46</v>
      </c>
      <c r="L917">
        <v>2</v>
      </c>
      <c r="M917">
        <v>2</v>
      </c>
      <c r="N917">
        <v>4</v>
      </c>
      <c r="O917">
        <v>1</v>
      </c>
      <c r="P917">
        <v>746.8</v>
      </c>
      <c r="Q917">
        <v>77</v>
      </c>
      <c r="S917">
        <f t="shared" si="56"/>
        <v>557.6865165165168</v>
      </c>
      <c r="T917">
        <f t="shared" si="57"/>
        <v>153</v>
      </c>
      <c r="U917">
        <f t="shared" si="58"/>
        <v>1.9139139139139139</v>
      </c>
      <c r="V917">
        <f t="shared" si="59"/>
        <v>557.6865165165168</v>
      </c>
    </row>
    <row r="918" spans="1:22" x14ac:dyDescent="0.25">
      <c r="A918">
        <v>1411</v>
      </c>
      <c r="B918" s="1">
        <v>43648</v>
      </c>
      <c r="C918" t="s">
        <v>26</v>
      </c>
      <c r="D918" t="s">
        <v>18</v>
      </c>
      <c r="E918" t="s">
        <v>28</v>
      </c>
      <c r="F918" t="s">
        <v>20</v>
      </c>
      <c r="G918" t="s">
        <v>21</v>
      </c>
      <c r="H918" t="s">
        <v>29</v>
      </c>
      <c r="I918" t="s">
        <v>23</v>
      </c>
      <c r="J918" t="s">
        <v>24</v>
      </c>
      <c r="K918" t="s">
        <v>46</v>
      </c>
      <c r="L918">
        <v>5</v>
      </c>
      <c r="M918">
        <v>4</v>
      </c>
      <c r="N918">
        <v>5</v>
      </c>
      <c r="O918">
        <v>1</v>
      </c>
      <c r="P918">
        <v>690.75</v>
      </c>
      <c r="Q918">
        <v>39</v>
      </c>
      <c r="S918">
        <f t="shared" si="56"/>
        <v>557.6865165165168</v>
      </c>
      <c r="T918">
        <f t="shared" si="57"/>
        <v>153</v>
      </c>
      <c r="U918">
        <f t="shared" si="58"/>
        <v>1.9139139139139139</v>
      </c>
      <c r="V918">
        <f t="shared" si="59"/>
        <v>557.6865165165168</v>
      </c>
    </row>
    <row r="919" spans="1:22" x14ac:dyDescent="0.25">
      <c r="A919">
        <v>1412</v>
      </c>
      <c r="B919" s="1">
        <v>43636</v>
      </c>
      <c r="C919" t="s">
        <v>54</v>
      </c>
      <c r="D919" t="s">
        <v>18</v>
      </c>
      <c r="E919" t="s">
        <v>28</v>
      </c>
      <c r="F919" t="s">
        <v>33</v>
      </c>
      <c r="G919" t="s">
        <v>21</v>
      </c>
      <c r="H919" t="s">
        <v>41</v>
      </c>
      <c r="I919" t="s">
        <v>23</v>
      </c>
      <c r="J919" t="s">
        <v>24</v>
      </c>
      <c r="K919" t="s">
        <v>46</v>
      </c>
      <c r="L919">
        <v>4</v>
      </c>
      <c r="M919">
        <v>3</v>
      </c>
      <c r="N919">
        <v>5</v>
      </c>
      <c r="O919">
        <v>4</v>
      </c>
      <c r="P919">
        <v>544.19000000000005</v>
      </c>
      <c r="Q919">
        <v>37</v>
      </c>
      <c r="S919">
        <f t="shared" si="56"/>
        <v>557.6865165165168</v>
      </c>
      <c r="T919">
        <f t="shared" si="57"/>
        <v>153</v>
      </c>
      <c r="U919">
        <f t="shared" si="58"/>
        <v>1.9139139139139139</v>
      </c>
      <c r="V919">
        <f t="shared" si="59"/>
        <v>557.6865165165168</v>
      </c>
    </row>
    <row r="920" spans="1:22" x14ac:dyDescent="0.25">
      <c r="A920">
        <v>1413</v>
      </c>
      <c r="B920" s="1">
        <v>43735</v>
      </c>
      <c r="C920" t="s">
        <v>37</v>
      </c>
      <c r="D920" t="s">
        <v>18</v>
      </c>
      <c r="E920" t="s">
        <v>28</v>
      </c>
      <c r="F920" t="s">
        <v>27</v>
      </c>
      <c r="G920" t="s">
        <v>21</v>
      </c>
      <c r="H920" t="s">
        <v>22</v>
      </c>
      <c r="I920" t="s">
        <v>23</v>
      </c>
      <c r="J920" t="s">
        <v>30</v>
      </c>
      <c r="K920" t="s">
        <v>64</v>
      </c>
      <c r="L920">
        <v>4</v>
      </c>
      <c r="M920">
        <v>3</v>
      </c>
      <c r="N920">
        <v>2</v>
      </c>
      <c r="O920">
        <v>5</v>
      </c>
      <c r="P920">
        <v>918.34</v>
      </c>
      <c r="Q920">
        <v>76</v>
      </c>
      <c r="S920">
        <f t="shared" si="56"/>
        <v>557.6865165165168</v>
      </c>
      <c r="T920">
        <f t="shared" si="57"/>
        <v>153</v>
      </c>
      <c r="U920">
        <f t="shared" si="58"/>
        <v>1.9139139139139139</v>
      </c>
      <c r="V920">
        <f t="shared" si="59"/>
        <v>557.6865165165168</v>
      </c>
    </row>
    <row r="921" spans="1:22" x14ac:dyDescent="0.25">
      <c r="A921">
        <v>1414</v>
      </c>
      <c r="B921" s="1">
        <v>44880</v>
      </c>
      <c r="C921" t="s">
        <v>40</v>
      </c>
      <c r="D921" t="s">
        <v>18</v>
      </c>
      <c r="E921" t="s">
        <v>19</v>
      </c>
      <c r="F921" t="s">
        <v>20</v>
      </c>
      <c r="G921" t="s">
        <v>21</v>
      </c>
      <c r="H921" t="s">
        <v>29</v>
      </c>
      <c r="I921" t="s">
        <v>23</v>
      </c>
      <c r="J921" t="s">
        <v>30</v>
      </c>
      <c r="K921" t="s">
        <v>46</v>
      </c>
      <c r="L921">
        <v>1</v>
      </c>
      <c r="M921">
        <v>4</v>
      </c>
      <c r="N921">
        <v>4</v>
      </c>
      <c r="O921">
        <v>3</v>
      </c>
      <c r="P921">
        <v>997.2</v>
      </c>
      <c r="Q921">
        <v>56</v>
      </c>
      <c r="S921">
        <f t="shared" si="56"/>
        <v>557.6865165165168</v>
      </c>
      <c r="T921">
        <f t="shared" si="57"/>
        <v>153</v>
      </c>
      <c r="U921">
        <f t="shared" si="58"/>
        <v>1.9139139139139139</v>
      </c>
      <c r="V921">
        <f t="shared" si="59"/>
        <v>557.6865165165168</v>
      </c>
    </row>
    <row r="922" spans="1:22" x14ac:dyDescent="0.25">
      <c r="A922">
        <v>1415</v>
      </c>
      <c r="B922" s="1">
        <v>44065</v>
      </c>
      <c r="C922" t="s">
        <v>17</v>
      </c>
      <c r="D922" t="s">
        <v>18</v>
      </c>
      <c r="E922" t="s">
        <v>28</v>
      </c>
      <c r="F922" t="s">
        <v>27</v>
      </c>
      <c r="G922" t="s">
        <v>21</v>
      </c>
      <c r="H922" t="s">
        <v>41</v>
      </c>
      <c r="I922" t="s">
        <v>23</v>
      </c>
      <c r="J922" t="s">
        <v>30</v>
      </c>
      <c r="K922" t="s">
        <v>46</v>
      </c>
      <c r="L922">
        <v>2</v>
      </c>
      <c r="M922">
        <v>2</v>
      </c>
      <c r="N922">
        <v>1</v>
      </c>
      <c r="O922">
        <v>3</v>
      </c>
      <c r="P922">
        <v>633.96</v>
      </c>
      <c r="Q922">
        <v>43</v>
      </c>
      <c r="S922">
        <f t="shared" si="56"/>
        <v>557.6865165165168</v>
      </c>
      <c r="T922">
        <f t="shared" si="57"/>
        <v>153</v>
      </c>
      <c r="U922">
        <f t="shared" si="58"/>
        <v>1.9139139139139139</v>
      </c>
      <c r="V922">
        <f t="shared" si="59"/>
        <v>557.6865165165168</v>
      </c>
    </row>
    <row r="923" spans="1:22" x14ac:dyDescent="0.25">
      <c r="A923">
        <v>1416</v>
      </c>
      <c r="B923" s="1">
        <v>43930</v>
      </c>
      <c r="C923" t="s">
        <v>26</v>
      </c>
      <c r="D923" t="s">
        <v>18</v>
      </c>
      <c r="E923" t="s">
        <v>28</v>
      </c>
      <c r="F923" t="s">
        <v>33</v>
      </c>
      <c r="G923" t="s">
        <v>21</v>
      </c>
      <c r="H923" t="s">
        <v>41</v>
      </c>
      <c r="I923" t="s">
        <v>23</v>
      </c>
      <c r="J923" t="s">
        <v>30</v>
      </c>
      <c r="K923" t="s">
        <v>46</v>
      </c>
      <c r="L923">
        <v>5</v>
      </c>
      <c r="M923">
        <v>4</v>
      </c>
      <c r="N923">
        <v>3</v>
      </c>
      <c r="O923">
        <v>2</v>
      </c>
      <c r="P923">
        <v>638.69000000000005</v>
      </c>
      <c r="Q923">
        <v>67</v>
      </c>
      <c r="S923">
        <f t="shared" si="56"/>
        <v>557.6865165165168</v>
      </c>
      <c r="T923">
        <f t="shared" si="57"/>
        <v>153</v>
      </c>
      <c r="U923">
        <f t="shared" si="58"/>
        <v>1.9139139139139139</v>
      </c>
      <c r="V923">
        <f t="shared" si="59"/>
        <v>557.6865165165168</v>
      </c>
    </row>
    <row r="924" spans="1:22" x14ac:dyDescent="0.25">
      <c r="A924">
        <v>1417</v>
      </c>
      <c r="B924" s="1">
        <v>44285</v>
      </c>
      <c r="C924" t="s">
        <v>54</v>
      </c>
      <c r="D924" t="s">
        <v>18</v>
      </c>
      <c r="E924" t="s">
        <v>32</v>
      </c>
      <c r="F924" t="s">
        <v>20</v>
      </c>
      <c r="G924" t="s">
        <v>21</v>
      </c>
      <c r="H924" t="s">
        <v>29</v>
      </c>
      <c r="I924" t="s">
        <v>23</v>
      </c>
      <c r="J924" t="s">
        <v>24</v>
      </c>
      <c r="K924" t="s">
        <v>46</v>
      </c>
      <c r="L924">
        <v>3</v>
      </c>
      <c r="M924">
        <v>5</v>
      </c>
      <c r="N924">
        <v>2</v>
      </c>
      <c r="O924">
        <v>1</v>
      </c>
      <c r="P924">
        <v>643.82000000000005</v>
      </c>
      <c r="Q924">
        <v>72</v>
      </c>
      <c r="S924">
        <f t="shared" si="56"/>
        <v>557.6865165165168</v>
      </c>
      <c r="T924">
        <f t="shared" si="57"/>
        <v>153</v>
      </c>
      <c r="U924">
        <f t="shared" si="58"/>
        <v>1.9139139139139139</v>
      </c>
      <c r="V924">
        <f t="shared" si="59"/>
        <v>557.6865165165168</v>
      </c>
    </row>
    <row r="925" spans="1:22" x14ac:dyDescent="0.25">
      <c r="A925">
        <v>1418</v>
      </c>
      <c r="B925" s="1">
        <v>43369</v>
      </c>
      <c r="C925" t="s">
        <v>49</v>
      </c>
      <c r="D925" t="s">
        <v>18</v>
      </c>
      <c r="E925" t="s">
        <v>28</v>
      </c>
      <c r="F925" t="s">
        <v>20</v>
      </c>
      <c r="G925" t="s">
        <v>21</v>
      </c>
      <c r="H925" t="s">
        <v>67</v>
      </c>
      <c r="I925" t="s">
        <v>23</v>
      </c>
      <c r="J925" t="s">
        <v>24</v>
      </c>
      <c r="K925" t="s">
        <v>64</v>
      </c>
      <c r="L925">
        <v>2</v>
      </c>
      <c r="M925">
        <v>1</v>
      </c>
      <c r="N925">
        <v>3</v>
      </c>
      <c r="O925">
        <v>1</v>
      </c>
      <c r="P925">
        <v>840.76</v>
      </c>
      <c r="Q925">
        <v>18</v>
      </c>
      <c r="S925">
        <f t="shared" si="56"/>
        <v>557.6865165165168</v>
      </c>
      <c r="T925">
        <f t="shared" si="57"/>
        <v>153</v>
      </c>
      <c r="U925">
        <f t="shared" si="58"/>
        <v>1.9139139139139139</v>
      </c>
      <c r="V925">
        <f t="shared" si="59"/>
        <v>557.6865165165168</v>
      </c>
    </row>
    <row r="926" spans="1:22" x14ac:dyDescent="0.25">
      <c r="A926">
        <v>1419</v>
      </c>
      <c r="B926" s="1">
        <v>45068</v>
      </c>
      <c r="C926" t="s">
        <v>31</v>
      </c>
      <c r="D926" t="s">
        <v>18</v>
      </c>
      <c r="E926" t="s">
        <v>19</v>
      </c>
      <c r="F926" t="s">
        <v>20</v>
      </c>
      <c r="G926" t="s">
        <v>21</v>
      </c>
      <c r="H926" t="s">
        <v>41</v>
      </c>
      <c r="I926" t="s">
        <v>23</v>
      </c>
      <c r="J926" t="s">
        <v>24</v>
      </c>
      <c r="K926" t="s">
        <v>46</v>
      </c>
      <c r="L926">
        <v>4</v>
      </c>
      <c r="M926">
        <v>2</v>
      </c>
      <c r="N926">
        <v>1</v>
      </c>
      <c r="O926">
        <v>1</v>
      </c>
      <c r="P926">
        <v>108.04</v>
      </c>
      <c r="Q926">
        <v>39</v>
      </c>
      <c r="S926">
        <f t="shared" si="56"/>
        <v>557.6865165165168</v>
      </c>
      <c r="T926">
        <f t="shared" si="57"/>
        <v>153</v>
      </c>
      <c r="U926">
        <f t="shared" si="58"/>
        <v>1.9139139139139139</v>
      </c>
      <c r="V926">
        <f t="shared" si="59"/>
        <v>557.6865165165168</v>
      </c>
    </row>
    <row r="927" spans="1:22" x14ac:dyDescent="0.25">
      <c r="A927">
        <v>1420</v>
      </c>
      <c r="B927" s="1">
        <v>44351</v>
      </c>
      <c r="C927" t="s">
        <v>60</v>
      </c>
      <c r="D927" t="s">
        <v>18</v>
      </c>
      <c r="E927" t="s">
        <v>19</v>
      </c>
      <c r="F927" t="s">
        <v>33</v>
      </c>
      <c r="G927" t="s">
        <v>21</v>
      </c>
      <c r="H927" t="s">
        <v>62</v>
      </c>
      <c r="I927" t="s">
        <v>23</v>
      </c>
      <c r="J927" t="s">
        <v>24</v>
      </c>
      <c r="K927" t="s">
        <v>46</v>
      </c>
      <c r="L927">
        <v>1</v>
      </c>
      <c r="M927">
        <v>2</v>
      </c>
      <c r="N927">
        <v>4</v>
      </c>
      <c r="O927">
        <v>5</v>
      </c>
      <c r="P927">
        <v>889.57</v>
      </c>
      <c r="Q927">
        <v>71</v>
      </c>
      <c r="S927">
        <f t="shared" si="56"/>
        <v>557.6865165165168</v>
      </c>
      <c r="T927">
        <f t="shared" si="57"/>
        <v>153</v>
      </c>
      <c r="U927">
        <f t="shared" si="58"/>
        <v>1.9139139139139139</v>
      </c>
      <c r="V927">
        <f t="shared" si="59"/>
        <v>557.6865165165168</v>
      </c>
    </row>
    <row r="928" spans="1:22" x14ac:dyDescent="0.25">
      <c r="A928">
        <v>1421</v>
      </c>
      <c r="B928" s="1">
        <v>43760</v>
      </c>
      <c r="C928" t="s">
        <v>52</v>
      </c>
      <c r="D928" t="s">
        <v>18</v>
      </c>
      <c r="E928" t="s">
        <v>19</v>
      </c>
      <c r="F928" t="s">
        <v>20</v>
      </c>
      <c r="G928" t="s">
        <v>21</v>
      </c>
      <c r="H928" t="s">
        <v>38</v>
      </c>
      <c r="I928" t="s">
        <v>23</v>
      </c>
      <c r="J928" t="s">
        <v>24</v>
      </c>
      <c r="K928" t="s">
        <v>46</v>
      </c>
      <c r="L928">
        <v>3</v>
      </c>
      <c r="M928">
        <v>5</v>
      </c>
      <c r="N928">
        <v>5</v>
      </c>
      <c r="O928">
        <v>5</v>
      </c>
      <c r="P928">
        <v>835.97</v>
      </c>
      <c r="Q928">
        <v>71</v>
      </c>
      <c r="S928">
        <f t="shared" si="56"/>
        <v>557.6865165165168</v>
      </c>
      <c r="T928">
        <f t="shared" si="57"/>
        <v>153</v>
      </c>
      <c r="U928">
        <f t="shared" si="58"/>
        <v>1.9139139139139139</v>
      </c>
      <c r="V928">
        <f t="shared" si="59"/>
        <v>557.6865165165168</v>
      </c>
    </row>
    <row r="929" spans="1:22" x14ac:dyDescent="0.25">
      <c r="A929">
        <v>1423</v>
      </c>
      <c r="B929" s="1">
        <v>44737</v>
      </c>
      <c r="C929" t="s">
        <v>43</v>
      </c>
      <c r="D929" t="s">
        <v>18</v>
      </c>
      <c r="E929" t="s">
        <v>32</v>
      </c>
      <c r="F929" t="s">
        <v>27</v>
      </c>
      <c r="G929" t="s">
        <v>21</v>
      </c>
      <c r="H929" t="s">
        <v>29</v>
      </c>
      <c r="I929" t="s">
        <v>23</v>
      </c>
      <c r="J929" t="s">
        <v>24</v>
      </c>
      <c r="K929" t="s">
        <v>64</v>
      </c>
      <c r="L929">
        <v>2</v>
      </c>
      <c r="M929">
        <v>5</v>
      </c>
      <c r="N929">
        <v>5</v>
      </c>
      <c r="O929">
        <v>3</v>
      </c>
      <c r="P929">
        <v>255.55</v>
      </c>
      <c r="Q929">
        <v>30</v>
      </c>
      <c r="S929">
        <f t="shared" si="56"/>
        <v>557.6865165165168</v>
      </c>
      <c r="T929">
        <f t="shared" si="57"/>
        <v>153</v>
      </c>
      <c r="U929">
        <f t="shared" si="58"/>
        <v>1.9139139139139139</v>
      </c>
      <c r="V929">
        <f t="shared" si="59"/>
        <v>557.6865165165168</v>
      </c>
    </row>
    <row r="930" spans="1:22" x14ac:dyDescent="0.25">
      <c r="A930">
        <v>1425</v>
      </c>
      <c r="B930" s="1">
        <v>43681</v>
      </c>
      <c r="C930" t="s">
        <v>17</v>
      </c>
      <c r="D930" t="s">
        <v>18</v>
      </c>
      <c r="E930" t="s">
        <v>28</v>
      </c>
      <c r="F930" t="s">
        <v>33</v>
      </c>
      <c r="G930" t="s">
        <v>21</v>
      </c>
      <c r="H930" t="s">
        <v>41</v>
      </c>
      <c r="I930" t="s">
        <v>23</v>
      </c>
      <c r="J930" t="s">
        <v>24</v>
      </c>
      <c r="K930" t="s">
        <v>64</v>
      </c>
      <c r="L930">
        <v>2</v>
      </c>
      <c r="M930">
        <v>3</v>
      </c>
      <c r="N930">
        <v>1</v>
      </c>
      <c r="O930">
        <v>1</v>
      </c>
      <c r="P930">
        <v>850.15</v>
      </c>
      <c r="Q930">
        <v>77</v>
      </c>
      <c r="S930">
        <f t="shared" si="56"/>
        <v>557.6865165165168</v>
      </c>
      <c r="T930">
        <f t="shared" si="57"/>
        <v>153</v>
      </c>
      <c r="U930">
        <f t="shared" si="58"/>
        <v>1.9139139139139139</v>
      </c>
      <c r="V930">
        <f t="shared" si="59"/>
        <v>557.6865165165168</v>
      </c>
    </row>
    <row r="931" spans="1:22" x14ac:dyDescent="0.25">
      <c r="A931">
        <v>1426</v>
      </c>
      <c r="B931" s="1">
        <v>44628</v>
      </c>
      <c r="C931" t="s">
        <v>26</v>
      </c>
      <c r="D931" t="s">
        <v>84</v>
      </c>
      <c r="E931" t="s">
        <v>32</v>
      </c>
      <c r="F931" t="s">
        <v>27</v>
      </c>
      <c r="G931" t="s">
        <v>21</v>
      </c>
      <c r="H931" t="s">
        <v>38</v>
      </c>
      <c r="I931" t="s">
        <v>23</v>
      </c>
      <c r="J931" t="s">
        <v>24</v>
      </c>
      <c r="K931" t="s">
        <v>46</v>
      </c>
      <c r="L931">
        <v>4</v>
      </c>
      <c r="M931">
        <v>5</v>
      </c>
      <c r="N931">
        <v>5</v>
      </c>
      <c r="O931">
        <v>3</v>
      </c>
      <c r="P931">
        <v>938.04</v>
      </c>
      <c r="Q931">
        <v>22</v>
      </c>
      <c r="S931">
        <f t="shared" si="56"/>
        <v>557.6865165165168</v>
      </c>
      <c r="T931">
        <f t="shared" si="57"/>
        <v>153</v>
      </c>
      <c r="U931">
        <f t="shared" si="58"/>
        <v>1.9139139139139139</v>
      </c>
      <c r="V931">
        <f t="shared" si="59"/>
        <v>557.6865165165168</v>
      </c>
    </row>
    <row r="932" spans="1:22" x14ac:dyDescent="0.25">
      <c r="A932">
        <v>1427</v>
      </c>
      <c r="B932" s="1">
        <v>43518</v>
      </c>
      <c r="C932" t="s">
        <v>17</v>
      </c>
      <c r="D932" t="s">
        <v>18</v>
      </c>
      <c r="E932" t="s">
        <v>32</v>
      </c>
      <c r="F932" t="s">
        <v>27</v>
      </c>
      <c r="G932" t="s">
        <v>21</v>
      </c>
      <c r="H932" t="s">
        <v>47</v>
      </c>
      <c r="I932" t="s">
        <v>23</v>
      </c>
      <c r="J932" t="s">
        <v>30</v>
      </c>
      <c r="K932" t="s">
        <v>64</v>
      </c>
      <c r="L932">
        <v>1</v>
      </c>
      <c r="M932">
        <v>2</v>
      </c>
      <c r="N932">
        <v>3</v>
      </c>
      <c r="O932">
        <v>1</v>
      </c>
      <c r="P932">
        <v>684.24</v>
      </c>
      <c r="Q932">
        <v>66</v>
      </c>
      <c r="S932">
        <f t="shared" si="56"/>
        <v>557.6865165165168</v>
      </c>
      <c r="T932">
        <f t="shared" si="57"/>
        <v>153</v>
      </c>
      <c r="U932">
        <f t="shared" si="58"/>
        <v>1.9139139139139139</v>
      </c>
      <c r="V932">
        <f t="shared" si="59"/>
        <v>557.6865165165168</v>
      </c>
    </row>
    <row r="933" spans="1:22" x14ac:dyDescent="0.25">
      <c r="A933">
        <v>1428</v>
      </c>
      <c r="B933" s="1">
        <v>44903</v>
      </c>
      <c r="C933" t="s">
        <v>52</v>
      </c>
      <c r="D933" t="s">
        <v>18</v>
      </c>
      <c r="E933" t="s">
        <v>32</v>
      </c>
      <c r="F933" t="s">
        <v>20</v>
      </c>
      <c r="G933" t="s">
        <v>21</v>
      </c>
      <c r="H933" t="s">
        <v>50</v>
      </c>
      <c r="I933" t="s">
        <v>23</v>
      </c>
      <c r="J933" t="s">
        <v>30</v>
      </c>
      <c r="K933" t="s">
        <v>46</v>
      </c>
      <c r="L933">
        <v>3</v>
      </c>
      <c r="M933">
        <v>5</v>
      </c>
      <c r="N933">
        <v>2</v>
      </c>
      <c r="O933">
        <v>5</v>
      </c>
      <c r="P933">
        <v>956.11</v>
      </c>
      <c r="Q933">
        <v>52</v>
      </c>
      <c r="S933">
        <f t="shared" si="56"/>
        <v>557.6865165165168</v>
      </c>
      <c r="T933">
        <f t="shared" si="57"/>
        <v>153</v>
      </c>
      <c r="U933">
        <f t="shared" si="58"/>
        <v>1.9139139139139139</v>
      </c>
      <c r="V933">
        <f t="shared" si="59"/>
        <v>557.6865165165168</v>
      </c>
    </row>
    <row r="934" spans="1:22" x14ac:dyDescent="0.25">
      <c r="A934">
        <v>1429</v>
      </c>
      <c r="B934" s="1">
        <v>43791</v>
      </c>
      <c r="C934" t="s">
        <v>26</v>
      </c>
      <c r="D934" t="s">
        <v>84</v>
      </c>
      <c r="E934" t="s">
        <v>19</v>
      </c>
      <c r="F934" t="s">
        <v>33</v>
      </c>
      <c r="G934" t="s">
        <v>21</v>
      </c>
      <c r="H934" t="s">
        <v>41</v>
      </c>
      <c r="I934" t="s">
        <v>23</v>
      </c>
      <c r="J934" t="s">
        <v>24</v>
      </c>
      <c r="K934" t="s">
        <v>46</v>
      </c>
      <c r="L934">
        <v>1</v>
      </c>
      <c r="M934">
        <v>4</v>
      </c>
      <c r="N934">
        <v>3</v>
      </c>
      <c r="O934">
        <v>4</v>
      </c>
      <c r="P934">
        <v>441.43</v>
      </c>
      <c r="Q934">
        <v>75</v>
      </c>
      <c r="S934">
        <f t="shared" si="56"/>
        <v>557.6865165165168</v>
      </c>
      <c r="T934">
        <f t="shared" si="57"/>
        <v>153</v>
      </c>
      <c r="U934">
        <f t="shared" si="58"/>
        <v>1.9139139139139139</v>
      </c>
      <c r="V934">
        <f t="shared" si="59"/>
        <v>557.6865165165168</v>
      </c>
    </row>
    <row r="935" spans="1:22" x14ac:dyDescent="0.25">
      <c r="A935">
        <v>1430</v>
      </c>
      <c r="B935" s="1">
        <v>44970</v>
      </c>
      <c r="C935" t="s">
        <v>54</v>
      </c>
      <c r="D935" t="s">
        <v>84</v>
      </c>
      <c r="E935" t="s">
        <v>28</v>
      </c>
      <c r="F935" t="s">
        <v>27</v>
      </c>
      <c r="G935" t="s">
        <v>21</v>
      </c>
      <c r="H935" t="s">
        <v>71</v>
      </c>
      <c r="I935" t="s">
        <v>23</v>
      </c>
      <c r="J935" t="s">
        <v>24</v>
      </c>
      <c r="K935" t="s">
        <v>64</v>
      </c>
      <c r="L935">
        <v>2</v>
      </c>
      <c r="M935">
        <v>2</v>
      </c>
      <c r="N935">
        <v>2</v>
      </c>
      <c r="O935">
        <v>4</v>
      </c>
      <c r="P935">
        <v>193.99</v>
      </c>
      <c r="Q935">
        <v>64</v>
      </c>
      <c r="S935">
        <f t="shared" si="56"/>
        <v>557.6865165165168</v>
      </c>
      <c r="T935">
        <f t="shared" si="57"/>
        <v>153</v>
      </c>
      <c r="U935">
        <f t="shared" si="58"/>
        <v>1.9139139139139139</v>
      </c>
      <c r="V935">
        <f t="shared" si="59"/>
        <v>557.6865165165168</v>
      </c>
    </row>
    <row r="936" spans="1:22" x14ac:dyDescent="0.25">
      <c r="A936">
        <v>1431</v>
      </c>
      <c r="B936" s="1">
        <v>43539</v>
      </c>
      <c r="C936" t="s">
        <v>37</v>
      </c>
      <c r="D936" t="s">
        <v>18</v>
      </c>
      <c r="E936" t="s">
        <v>32</v>
      </c>
      <c r="F936" t="s">
        <v>33</v>
      </c>
      <c r="G936" t="s">
        <v>21</v>
      </c>
      <c r="H936" t="s">
        <v>41</v>
      </c>
      <c r="I936" t="s">
        <v>23</v>
      </c>
      <c r="J936" t="s">
        <v>24</v>
      </c>
      <c r="K936" t="s">
        <v>46</v>
      </c>
      <c r="L936">
        <v>2</v>
      </c>
      <c r="M936">
        <v>1</v>
      </c>
      <c r="N936">
        <v>1</v>
      </c>
      <c r="O936">
        <v>3</v>
      </c>
      <c r="P936">
        <v>790.72</v>
      </c>
      <c r="Q936">
        <v>68</v>
      </c>
      <c r="S936">
        <f t="shared" si="56"/>
        <v>557.6865165165168</v>
      </c>
      <c r="T936">
        <f t="shared" si="57"/>
        <v>153</v>
      </c>
      <c r="U936">
        <f t="shared" si="58"/>
        <v>1.9139139139139139</v>
      </c>
      <c r="V936">
        <f t="shared" si="59"/>
        <v>557.6865165165168</v>
      </c>
    </row>
    <row r="937" spans="1:22" x14ac:dyDescent="0.25">
      <c r="A937">
        <v>1432</v>
      </c>
      <c r="B937" s="1">
        <v>43664</v>
      </c>
      <c r="C937" t="s">
        <v>60</v>
      </c>
      <c r="D937" t="s">
        <v>18</v>
      </c>
      <c r="E937" t="s">
        <v>19</v>
      </c>
      <c r="F937" t="s">
        <v>27</v>
      </c>
      <c r="G937" t="s">
        <v>21</v>
      </c>
      <c r="H937" t="s">
        <v>62</v>
      </c>
      <c r="I937" t="s">
        <v>23</v>
      </c>
      <c r="J937" t="s">
        <v>30</v>
      </c>
      <c r="K937" t="s">
        <v>46</v>
      </c>
      <c r="L937">
        <v>4</v>
      </c>
      <c r="M937">
        <v>3</v>
      </c>
      <c r="N937">
        <v>4</v>
      </c>
      <c r="O937">
        <v>4</v>
      </c>
      <c r="P937">
        <v>894.75</v>
      </c>
      <c r="Q937">
        <v>28</v>
      </c>
      <c r="S937">
        <f t="shared" si="56"/>
        <v>557.6865165165168</v>
      </c>
      <c r="T937">
        <f t="shared" si="57"/>
        <v>153</v>
      </c>
      <c r="U937">
        <f t="shared" si="58"/>
        <v>1.9139139139139139</v>
      </c>
      <c r="V937">
        <f t="shared" si="59"/>
        <v>557.6865165165168</v>
      </c>
    </row>
    <row r="938" spans="1:22" x14ac:dyDescent="0.25">
      <c r="A938">
        <v>1433</v>
      </c>
      <c r="B938" s="1">
        <v>44295</v>
      </c>
      <c r="C938" t="s">
        <v>52</v>
      </c>
      <c r="D938" t="s">
        <v>18</v>
      </c>
      <c r="E938" t="s">
        <v>28</v>
      </c>
      <c r="F938" t="s">
        <v>20</v>
      </c>
      <c r="G938" t="s">
        <v>21</v>
      </c>
      <c r="H938" t="s">
        <v>38</v>
      </c>
      <c r="I938" t="s">
        <v>23</v>
      </c>
      <c r="J938" t="s">
        <v>24</v>
      </c>
      <c r="K938" t="s">
        <v>64</v>
      </c>
      <c r="L938">
        <v>5</v>
      </c>
      <c r="M938">
        <v>1</v>
      </c>
      <c r="N938">
        <v>3</v>
      </c>
      <c r="O938">
        <v>4</v>
      </c>
      <c r="P938">
        <v>863.73</v>
      </c>
      <c r="Q938">
        <v>26</v>
      </c>
      <c r="S938">
        <f t="shared" si="56"/>
        <v>557.6865165165168</v>
      </c>
      <c r="T938">
        <f t="shared" si="57"/>
        <v>153</v>
      </c>
      <c r="U938">
        <f t="shared" si="58"/>
        <v>1.9139139139139139</v>
      </c>
      <c r="V938">
        <f t="shared" si="59"/>
        <v>557.6865165165168</v>
      </c>
    </row>
    <row r="939" spans="1:22" x14ac:dyDescent="0.25">
      <c r="A939">
        <v>1434</v>
      </c>
      <c r="B939" s="1">
        <v>43464</v>
      </c>
      <c r="C939" t="s">
        <v>26</v>
      </c>
      <c r="D939" t="s">
        <v>18</v>
      </c>
      <c r="E939" t="s">
        <v>28</v>
      </c>
      <c r="F939" t="s">
        <v>20</v>
      </c>
      <c r="G939" t="s">
        <v>21</v>
      </c>
      <c r="H939" t="s">
        <v>56</v>
      </c>
      <c r="I939" t="s">
        <v>23</v>
      </c>
      <c r="J939" t="s">
        <v>24</v>
      </c>
      <c r="K939" t="s">
        <v>46</v>
      </c>
      <c r="L939">
        <v>1</v>
      </c>
      <c r="M939">
        <v>2</v>
      </c>
      <c r="N939">
        <v>3</v>
      </c>
      <c r="O939">
        <v>2</v>
      </c>
      <c r="P939">
        <v>746.99</v>
      </c>
      <c r="Q939">
        <v>32</v>
      </c>
      <c r="S939">
        <f t="shared" si="56"/>
        <v>557.6865165165168</v>
      </c>
      <c r="T939">
        <f t="shared" si="57"/>
        <v>153</v>
      </c>
      <c r="U939">
        <f t="shared" si="58"/>
        <v>1.9139139139139139</v>
      </c>
      <c r="V939">
        <f t="shared" si="59"/>
        <v>557.6865165165168</v>
      </c>
    </row>
    <row r="940" spans="1:22" x14ac:dyDescent="0.25">
      <c r="A940">
        <v>1435</v>
      </c>
      <c r="B940" s="1">
        <v>44407</v>
      </c>
      <c r="C940" t="s">
        <v>54</v>
      </c>
      <c r="D940" t="s">
        <v>18</v>
      </c>
      <c r="E940" t="s">
        <v>19</v>
      </c>
      <c r="F940" t="s">
        <v>20</v>
      </c>
      <c r="G940" t="s">
        <v>21</v>
      </c>
      <c r="H940" t="s">
        <v>41</v>
      </c>
      <c r="I940" t="s">
        <v>23</v>
      </c>
      <c r="J940" t="s">
        <v>24</v>
      </c>
      <c r="K940" t="s">
        <v>46</v>
      </c>
      <c r="L940">
        <v>4</v>
      </c>
      <c r="M940">
        <v>2</v>
      </c>
      <c r="N940">
        <v>3</v>
      </c>
      <c r="O940">
        <v>4</v>
      </c>
      <c r="P940">
        <v>360.38</v>
      </c>
      <c r="Q940">
        <v>23</v>
      </c>
      <c r="S940">
        <f t="shared" si="56"/>
        <v>557.6865165165168</v>
      </c>
      <c r="T940">
        <f t="shared" si="57"/>
        <v>153</v>
      </c>
      <c r="U940">
        <f t="shared" si="58"/>
        <v>1.9139139139139139</v>
      </c>
      <c r="V940">
        <f t="shared" si="59"/>
        <v>557.6865165165168</v>
      </c>
    </row>
    <row r="941" spans="1:22" x14ac:dyDescent="0.25">
      <c r="A941">
        <v>1436</v>
      </c>
      <c r="B941" s="1">
        <v>44862</v>
      </c>
      <c r="C941" t="s">
        <v>37</v>
      </c>
      <c r="D941" t="s">
        <v>18</v>
      </c>
      <c r="E941" t="s">
        <v>32</v>
      </c>
      <c r="F941" t="s">
        <v>20</v>
      </c>
      <c r="G941" t="s">
        <v>21</v>
      </c>
      <c r="H941" t="s">
        <v>41</v>
      </c>
      <c r="I941" t="s">
        <v>23</v>
      </c>
      <c r="J941" t="s">
        <v>30</v>
      </c>
      <c r="K941" t="s">
        <v>64</v>
      </c>
      <c r="L941">
        <v>1</v>
      </c>
      <c r="M941">
        <v>2</v>
      </c>
      <c r="N941">
        <v>2</v>
      </c>
      <c r="O941">
        <v>1</v>
      </c>
      <c r="P941">
        <v>298.3</v>
      </c>
      <c r="Q941">
        <v>33</v>
      </c>
      <c r="S941">
        <f t="shared" si="56"/>
        <v>557.6865165165168</v>
      </c>
      <c r="T941">
        <f t="shared" si="57"/>
        <v>153</v>
      </c>
      <c r="U941">
        <f t="shared" si="58"/>
        <v>1.9139139139139139</v>
      </c>
      <c r="V941">
        <f t="shared" si="59"/>
        <v>557.6865165165168</v>
      </c>
    </row>
    <row r="942" spans="1:22" x14ac:dyDescent="0.25">
      <c r="A942">
        <v>1437</v>
      </c>
      <c r="B942" s="1">
        <v>44133</v>
      </c>
      <c r="C942" t="s">
        <v>60</v>
      </c>
      <c r="D942" t="s">
        <v>18</v>
      </c>
      <c r="E942" t="s">
        <v>19</v>
      </c>
      <c r="F942" t="s">
        <v>20</v>
      </c>
      <c r="G942" t="s">
        <v>21</v>
      </c>
      <c r="H942" t="s">
        <v>62</v>
      </c>
      <c r="I942" t="s">
        <v>23</v>
      </c>
      <c r="J942" t="s">
        <v>30</v>
      </c>
      <c r="K942" t="s">
        <v>46</v>
      </c>
      <c r="L942">
        <v>4</v>
      </c>
      <c r="M942">
        <v>5</v>
      </c>
      <c r="N942">
        <v>5</v>
      </c>
      <c r="O942">
        <v>3</v>
      </c>
      <c r="P942">
        <v>537.12</v>
      </c>
      <c r="Q942">
        <v>24</v>
      </c>
      <c r="S942">
        <f t="shared" si="56"/>
        <v>557.6865165165168</v>
      </c>
      <c r="T942">
        <f t="shared" si="57"/>
        <v>153</v>
      </c>
      <c r="U942">
        <f t="shared" si="58"/>
        <v>1.9139139139139139</v>
      </c>
      <c r="V942">
        <f t="shared" si="59"/>
        <v>557.6865165165168</v>
      </c>
    </row>
    <row r="943" spans="1:22" x14ac:dyDescent="0.25">
      <c r="A943">
        <v>1438</v>
      </c>
      <c r="B943" s="1">
        <v>45002</v>
      </c>
      <c r="C943" t="s">
        <v>43</v>
      </c>
      <c r="D943" t="s">
        <v>18</v>
      </c>
      <c r="E943" t="s">
        <v>19</v>
      </c>
      <c r="F943" t="s">
        <v>33</v>
      </c>
      <c r="G943" t="s">
        <v>21</v>
      </c>
      <c r="H943" t="s">
        <v>41</v>
      </c>
      <c r="I943" t="s">
        <v>23</v>
      </c>
      <c r="J943" t="s">
        <v>30</v>
      </c>
      <c r="K943" t="s">
        <v>46</v>
      </c>
      <c r="L943">
        <v>1</v>
      </c>
      <c r="M943">
        <v>4</v>
      </c>
      <c r="N943">
        <v>1</v>
      </c>
      <c r="O943">
        <v>2</v>
      </c>
      <c r="P943">
        <v>996.18</v>
      </c>
      <c r="Q943">
        <v>46</v>
      </c>
      <c r="S943">
        <f t="shared" si="56"/>
        <v>557.6865165165168</v>
      </c>
      <c r="T943">
        <f t="shared" si="57"/>
        <v>153</v>
      </c>
      <c r="U943">
        <f t="shared" si="58"/>
        <v>1.9139139139139139</v>
      </c>
      <c r="V943">
        <f t="shared" si="59"/>
        <v>557.6865165165168</v>
      </c>
    </row>
    <row r="944" spans="1:22" x14ac:dyDescent="0.25">
      <c r="A944">
        <v>1439</v>
      </c>
      <c r="B944" s="1">
        <v>44762</v>
      </c>
      <c r="C944" t="s">
        <v>49</v>
      </c>
      <c r="D944" t="s">
        <v>18</v>
      </c>
      <c r="E944" t="s">
        <v>32</v>
      </c>
      <c r="F944" t="s">
        <v>27</v>
      </c>
      <c r="G944" t="s">
        <v>21</v>
      </c>
      <c r="H944" t="s">
        <v>38</v>
      </c>
      <c r="I944" t="s">
        <v>23</v>
      </c>
      <c r="J944" t="s">
        <v>24</v>
      </c>
      <c r="K944" t="s">
        <v>64</v>
      </c>
      <c r="L944">
        <v>3</v>
      </c>
      <c r="M944">
        <v>1</v>
      </c>
      <c r="N944">
        <v>3</v>
      </c>
      <c r="O944">
        <v>4</v>
      </c>
      <c r="P944">
        <v>764.43</v>
      </c>
      <c r="Q944">
        <v>34</v>
      </c>
      <c r="S944">
        <f t="shared" si="56"/>
        <v>557.6865165165168</v>
      </c>
      <c r="T944">
        <f t="shared" si="57"/>
        <v>153</v>
      </c>
      <c r="U944">
        <f t="shared" si="58"/>
        <v>1.9139139139139139</v>
      </c>
      <c r="V944">
        <f t="shared" si="59"/>
        <v>557.6865165165168</v>
      </c>
    </row>
    <row r="945" spans="1:22" x14ac:dyDescent="0.25">
      <c r="A945">
        <v>1440</v>
      </c>
      <c r="B945" s="1">
        <v>45142</v>
      </c>
      <c r="C945" t="s">
        <v>31</v>
      </c>
      <c r="D945" t="s">
        <v>18</v>
      </c>
      <c r="E945" t="s">
        <v>28</v>
      </c>
      <c r="F945" t="s">
        <v>27</v>
      </c>
      <c r="G945" t="s">
        <v>21</v>
      </c>
      <c r="H945" t="s">
        <v>41</v>
      </c>
      <c r="I945" t="s">
        <v>23</v>
      </c>
      <c r="J945" t="s">
        <v>24</v>
      </c>
      <c r="K945" t="s">
        <v>64</v>
      </c>
      <c r="L945">
        <v>3</v>
      </c>
      <c r="M945">
        <v>1</v>
      </c>
      <c r="N945">
        <v>4</v>
      </c>
      <c r="O945">
        <v>5</v>
      </c>
      <c r="P945">
        <v>490.33</v>
      </c>
      <c r="Q945">
        <v>26</v>
      </c>
      <c r="S945">
        <f t="shared" si="56"/>
        <v>557.6865165165168</v>
      </c>
      <c r="T945">
        <f t="shared" si="57"/>
        <v>153</v>
      </c>
      <c r="U945">
        <f t="shared" si="58"/>
        <v>1.9139139139139139</v>
      </c>
      <c r="V945">
        <f t="shared" si="59"/>
        <v>557.6865165165168</v>
      </c>
    </row>
    <row r="946" spans="1:22" x14ac:dyDescent="0.25">
      <c r="A946">
        <v>1441</v>
      </c>
      <c r="B946" s="1">
        <v>44526</v>
      </c>
      <c r="C946" t="s">
        <v>40</v>
      </c>
      <c r="D946" t="s">
        <v>18</v>
      </c>
      <c r="E946" t="s">
        <v>19</v>
      </c>
      <c r="F946" t="s">
        <v>27</v>
      </c>
      <c r="G946" t="s">
        <v>21</v>
      </c>
      <c r="H946" t="s">
        <v>41</v>
      </c>
      <c r="I946" t="s">
        <v>23</v>
      </c>
      <c r="J946" t="s">
        <v>24</v>
      </c>
      <c r="K946" t="s">
        <v>64</v>
      </c>
      <c r="L946">
        <v>1</v>
      </c>
      <c r="M946">
        <v>1</v>
      </c>
      <c r="N946">
        <v>5</v>
      </c>
      <c r="O946">
        <v>4</v>
      </c>
      <c r="P946">
        <v>758.41</v>
      </c>
      <c r="Q946">
        <v>39</v>
      </c>
      <c r="S946">
        <f t="shared" si="56"/>
        <v>557.6865165165168</v>
      </c>
      <c r="T946">
        <f t="shared" si="57"/>
        <v>153</v>
      </c>
      <c r="U946">
        <f t="shared" si="58"/>
        <v>1.9139139139139139</v>
      </c>
      <c r="V946">
        <f t="shared" si="59"/>
        <v>557.6865165165168</v>
      </c>
    </row>
    <row r="947" spans="1:22" x14ac:dyDescent="0.25">
      <c r="A947">
        <v>1442</v>
      </c>
      <c r="B947" s="1">
        <v>43370</v>
      </c>
      <c r="C947" t="s">
        <v>17</v>
      </c>
      <c r="D947" t="s">
        <v>18</v>
      </c>
      <c r="E947" t="s">
        <v>32</v>
      </c>
      <c r="F947" t="s">
        <v>27</v>
      </c>
      <c r="G947" t="s">
        <v>21</v>
      </c>
      <c r="H947" t="s">
        <v>81</v>
      </c>
      <c r="I947" t="s">
        <v>23</v>
      </c>
      <c r="J947" t="s">
        <v>24</v>
      </c>
      <c r="K947" t="s">
        <v>64</v>
      </c>
      <c r="L947">
        <v>2</v>
      </c>
      <c r="M947">
        <v>4</v>
      </c>
      <c r="N947">
        <v>2</v>
      </c>
      <c r="O947">
        <v>3</v>
      </c>
      <c r="P947">
        <v>367.56</v>
      </c>
      <c r="Q947">
        <v>25</v>
      </c>
      <c r="S947">
        <f t="shared" si="56"/>
        <v>557.6865165165168</v>
      </c>
      <c r="T947">
        <f t="shared" si="57"/>
        <v>153</v>
      </c>
      <c r="U947">
        <f t="shared" si="58"/>
        <v>1.9139139139139139</v>
      </c>
      <c r="V947">
        <f t="shared" si="59"/>
        <v>557.6865165165168</v>
      </c>
    </row>
    <row r="948" spans="1:22" x14ac:dyDescent="0.25">
      <c r="A948">
        <v>1443</v>
      </c>
      <c r="B948" s="1">
        <v>43681</v>
      </c>
      <c r="C948" t="s">
        <v>52</v>
      </c>
      <c r="D948" t="s">
        <v>18</v>
      </c>
      <c r="E948" t="s">
        <v>19</v>
      </c>
      <c r="F948" t="s">
        <v>20</v>
      </c>
      <c r="G948" t="s">
        <v>21</v>
      </c>
      <c r="H948" t="s">
        <v>41</v>
      </c>
      <c r="I948" t="s">
        <v>23</v>
      </c>
      <c r="J948" t="s">
        <v>24</v>
      </c>
      <c r="K948" t="s">
        <v>64</v>
      </c>
      <c r="L948">
        <v>5</v>
      </c>
      <c r="M948">
        <v>2</v>
      </c>
      <c r="N948">
        <v>3</v>
      </c>
      <c r="O948">
        <v>5</v>
      </c>
      <c r="P948">
        <v>582.49</v>
      </c>
      <c r="Q948">
        <v>59</v>
      </c>
      <c r="S948">
        <f t="shared" si="56"/>
        <v>557.6865165165168</v>
      </c>
      <c r="T948">
        <f t="shared" si="57"/>
        <v>153</v>
      </c>
      <c r="U948">
        <f t="shared" si="58"/>
        <v>1.9139139139139139</v>
      </c>
      <c r="V948">
        <f t="shared" si="59"/>
        <v>557.6865165165168</v>
      </c>
    </row>
    <row r="949" spans="1:22" x14ac:dyDescent="0.25">
      <c r="A949">
        <v>1444</v>
      </c>
      <c r="B949" s="1">
        <v>43741</v>
      </c>
      <c r="C949" t="s">
        <v>26</v>
      </c>
      <c r="D949" t="s">
        <v>18</v>
      </c>
      <c r="E949" t="s">
        <v>19</v>
      </c>
      <c r="F949" t="s">
        <v>20</v>
      </c>
      <c r="G949" t="s">
        <v>21</v>
      </c>
      <c r="H949" t="s">
        <v>38</v>
      </c>
      <c r="I949" t="s">
        <v>23</v>
      </c>
      <c r="J949" t="s">
        <v>24</v>
      </c>
      <c r="K949" t="s">
        <v>64</v>
      </c>
      <c r="L949">
        <v>5</v>
      </c>
      <c r="M949">
        <v>5</v>
      </c>
      <c r="N949">
        <v>3</v>
      </c>
      <c r="O949">
        <v>2</v>
      </c>
      <c r="P949">
        <v>561.14</v>
      </c>
      <c r="Q949">
        <v>47</v>
      </c>
      <c r="S949">
        <f t="shared" si="56"/>
        <v>557.6865165165168</v>
      </c>
      <c r="T949">
        <f t="shared" si="57"/>
        <v>153</v>
      </c>
      <c r="U949">
        <f t="shared" si="58"/>
        <v>1.9139139139139139</v>
      </c>
      <c r="V949">
        <f t="shared" si="59"/>
        <v>557.6865165165168</v>
      </c>
    </row>
    <row r="950" spans="1:22" x14ac:dyDescent="0.25">
      <c r="A950">
        <v>1448</v>
      </c>
      <c r="B950" s="1">
        <v>44087</v>
      </c>
      <c r="C950" t="s">
        <v>43</v>
      </c>
      <c r="D950" t="s">
        <v>18</v>
      </c>
      <c r="E950" t="s">
        <v>28</v>
      </c>
      <c r="F950" t="s">
        <v>27</v>
      </c>
      <c r="G950" t="s">
        <v>21</v>
      </c>
      <c r="H950" t="s">
        <v>38</v>
      </c>
      <c r="I950" t="s">
        <v>23</v>
      </c>
      <c r="J950" t="s">
        <v>24</v>
      </c>
      <c r="K950" t="s">
        <v>64</v>
      </c>
      <c r="L950">
        <v>1</v>
      </c>
      <c r="M950">
        <v>1</v>
      </c>
      <c r="N950">
        <v>3</v>
      </c>
      <c r="O950">
        <v>5</v>
      </c>
      <c r="P950">
        <v>151.43</v>
      </c>
      <c r="Q950">
        <v>44</v>
      </c>
      <c r="S950">
        <f t="shared" si="56"/>
        <v>557.6865165165168</v>
      </c>
      <c r="T950">
        <f t="shared" si="57"/>
        <v>153</v>
      </c>
      <c r="U950">
        <f t="shared" si="58"/>
        <v>1.9139139139139139</v>
      </c>
      <c r="V950">
        <f t="shared" si="59"/>
        <v>557.6865165165168</v>
      </c>
    </row>
    <row r="951" spans="1:22" x14ac:dyDescent="0.25">
      <c r="A951">
        <v>1449</v>
      </c>
      <c r="B951" s="1">
        <v>44880</v>
      </c>
      <c r="C951" t="s">
        <v>31</v>
      </c>
      <c r="D951" t="s">
        <v>18</v>
      </c>
      <c r="E951" t="s">
        <v>28</v>
      </c>
      <c r="F951" t="s">
        <v>33</v>
      </c>
      <c r="G951" t="s">
        <v>21</v>
      </c>
      <c r="H951" t="s">
        <v>35</v>
      </c>
      <c r="I951" t="s">
        <v>23</v>
      </c>
      <c r="J951" t="s">
        <v>30</v>
      </c>
      <c r="K951" t="s">
        <v>64</v>
      </c>
      <c r="L951">
        <v>4</v>
      </c>
      <c r="M951">
        <v>2</v>
      </c>
      <c r="N951">
        <v>2</v>
      </c>
      <c r="O951">
        <v>5</v>
      </c>
      <c r="P951">
        <v>675.71</v>
      </c>
      <c r="Q951">
        <v>57</v>
      </c>
      <c r="S951">
        <f t="shared" si="56"/>
        <v>557.6865165165168</v>
      </c>
      <c r="T951">
        <f t="shared" si="57"/>
        <v>153</v>
      </c>
      <c r="U951">
        <f t="shared" si="58"/>
        <v>1.9139139139139139</v>
      </c>
      <c r="V951">
        <f t="shared" si="59"/>
        <v>557.6865165165168</v>
      </c>
    </row>
    <row r="952" spans="1:22" x14ac:dyDescent="0.25">
      <c r="A952">
        <v>1450</v>
      </c>
      <c r="B952" s="1">
        <v>43868</v>
      </c>
      <c r="C952" t="s">
        <v>60</v>
      </c>
      <c r="D952" t="s">
        <v>84</v>
      </c>
      <c r="E952" t="s">
        <v>32</v>
      </c>
      <c r="F952" t="s">
        <v>20</v>
      </c>
      <c r="G952" t="s">
        <v>21</v>
      </c>
      <c r="H952" t="s">
        <v>41</v>
      </c>
      <c r="I952" t="s">
        <v>23</v>
      </c>
      <c r="J952" t="s">
        <v>30</v>
      </c>
      <c r="K952" t="s">
        <v>64</v>
      </c>
      <c r="L952">
        <v>5</v>
      </c>
      <c r="M952">
        <v>1</v>
      </c>
      <c r="N952">
        <v>2</v>
      </c>
      <c r="O952">
        <v>5</v>
      </c>
      <c r="P952">
        <v>436.63</v>
      </c>
      <c r="Q952">
        <v>62</v>
      </c>
      <c r="S952">
        <f t="shared" si="56"/>
        <v>557.6865165165168</v>
      </c>
      <c r="T952">
        <f t="shared" si="57"/>
        <v>153</v>
      </c>
      <c r="U952">
        <f t="shared" si="58"/>
        <v>1.9139139139139139</v>
      </c>
      <c r="V952">
        <f t="shared" si="59"/>
        <v>557.6865165165168</v>
      </c>
    </row>
    <row r="953" spans="1:22" x14ac:dyDescent="0.25">
      <c r="A953">
        <v>1451</v>
      </c>
      <c r="B953" s="1">
        <v>44926</v>
      </c>
      <c r="C953" t="s">
        <v>52</v>
      </c>
      <c r="D953" t="s">
        <v>18</v>
      </c>
      <c r="E953" t="s">
        <v>28</v>
      </c>
      <c r="F953" t="s">
        <v>27</v>
      </c>
      <c r="G953" t="s">
        <v>21</v>
      </c>
      <c r="H953" t="s">
        <v>56</v>
      </c>
      <c r="I953" t="s">
        <v>23</v>
      </c>
      <c r="J953" t="s">
        <v>24</v>
      </c>
      <c r="K953" t="s">
        <v>64</v>
      </c>
      <c r="L953">
        <v>4</v>
      </c>
      <c r="M953">
        <v>3</v>
      </c>
      <c r="N953">
        <v>4</v>
      </c>
      <c r="O953">
        <v>2</v>
      </c>
      <c r="P953">
        <v>387.11</v>
      </c>
      <c r="Q953">
        <v>78</v>
      </c>
      <c r="S953">
        <f t="shared" si="56"/>
        <v>557.6865165165168</v>
      </c>
      <c r="T953">
        <f t="shared" si="57"/>
        <v>153</v>
      </c>
      <c r="U953">
        <f t="shared" si="58"/>
        <v>1.9139139139139139</v>
      </c>
      <c r="V953">
        <f t="shared" si="59"/>
        <v>557.6865165165168</v>
      </c>
    </row>
    <row r="954" spans="1:22" x14ac:dyDescent="0.25">
      <c r="A954">
        <v>1452</v>
      </c>
      <c r="B954" s="1">
        <v>43550</v>
      </c>
      <c r="C954" t="s">
        <v>37</v>
      </c>
      <c r="D954" t="s">
        <v>18</v>
      </c>
      <c r="E954" t="s">
        <v>32</v>
      </c>
      <c r="F954" t="s">
        <v>33</v>
      </c>
      <c r="G954" t="s">
        <v>21</v>
      </c>
      <c r="H954" t="s">
        <v>41</v>
      </c>
      <c r="I954" t="s">
        <v>23</v>
      </c>
      <c r="J954" t="s">
        <v>24</v>
      </c>
      <c r="K954" t="s">
        <v>64</v>
      </c>
      <c r="L954">
        <v>4</v>
      </c>
      <c r="M954">
        <v>4</v>
      </c>
      <c r="N954">
        <v>5</v>
      </c>
      <c r="O954">
        <v>4</v>
      </c>
      <c r="P954">
        <v>320.38</v>
      </c>
      <c r="Q954">
        <v>66</v>
      </c>
      <c r="S954">
        <f t="shared" si="56"/>
        <v>557.6865165165168</v>
      </c>
      <c r="T954">
        <f t="shared" si="57"/>
        <v>153</v>
      </c>
      <c r="U954">
        <f t="shared" si="58"/>
        <v>1.9139139139139139</v>
      </c>
      <c r="V954">
        <f t="shared" si="59"/>
        <v>557.6865165165168</v>
      </c>
    </row>
    <row r="955" spans="1:22" x14ac:dyDescent="0.25">
      <c r="A955">
        <v>1453</v>
      </c>
      <c r="B955" s="1">
        <v>45007</v>
      </c>
      <c r="C955" t="s">
        <v>43</v>
      </c>
      <c r="D955" t="s">
        <v>18</v>
      </c>
      <c r="E955" t="s">
        <v>32</v>
      </c>
      <c r="F955" t="s">
        <v>20</v>
      </c>
      <c r="G955" t="s">
        <v>21</v>
      </c>
      <c r="H955" t="s">
        <v>47</v>
      </c>
      <c r="I955" t="s">
        <v>23</v>
      </c>
      <c r="J955" t="s">
        <v>30</v>
      </c>
      <c r="K955" t="s">
        <v>64</v>
      </c>
      <c r="L955">
        <v>1</v>
      </c>
      <c r="M955">
        <v>5</v>
      </c>
      <c r="N955">
        <v>1</v>
      </c>
      <c r="O955">
        <v>2</v>
      </c>
      <c r="P955">
        <v>294.55</v>
      </c>
      <c r="Q955">
        <v>33</v>
      </c>
      <c r="S955">
        <f t="shared" si="56"/>
        <v>557.6865165165168</v>
      </c>
      <c r="T955">
        <f t="shared" si="57"/>
        <v>153</v>
      </c>
      <c r="U955">
        <f t="shared" si="58"/>
        <v>1.9139139139139139</v>
      </c>
      <c r="V955">
        <f t="shared" si="59"/>
        <v>557.6865165165168</v>
      </c>
    </row>
    <row r="956" spans="1:22" x14ac:dyDescent="0.25">
      <c r="A956">
        <v>1454</v>
      </c>
      <c r="B956" s="1">
        <v>44918</v>
      </c>
      <c r="C956" t="s">
        <v>43</v>
      </c>
      <c r="D956" t="s">
        <v>84</v>
      </c>
      <c r="E956" t="s">
        <v>32</v>
      </c>
      <c r="F956" t="s">
        <v>20</v>
      </c>
      <c r="G956" t="s">
        <v>21</v>
      </c>
      <c r="H956" t="s">
        <v>38</v>
      </c>
      <c r="I956" t="s">
        <v>23</v>
      </c>
      <c r="J956" t="s">
        <v>30</v>
      </c>
      <c r="K956" t="s">
        <v>64</v>
      </c>
      <c r="L956">
        <v>2</v>
      </c>
      <c r="M956">
        <v>2</v>
      </c>
      <c r="N956">
        <v>1</v>
      </c>
      <c r="O956">
        <v>1</v>
      </c>
      <c r="P956">
        <v>832.86</v>
      </c>
      <c r="Q956">
        <v>45</v>
      </c>
      <c r="S956">
        <f t="shared" si="56"/>
        <v>557.6865165165168</v>
      </c>
      <c r="T956">
        <f t="shared" si="57"/>
        <v>153</v>
      </c>
      <c r="U956">
        <f t="shared" si="58"/>
        <v>1.9139139139139139</v>
      </c>
      <c r="V956">
        <f t="shared" si="59"/>
        <v>557.6865165165168</v>
      </c>
    </row>
    <row r="957" spans="1:22" x14ac:dyDescent="0.25">
      <c r="A957">
        <v>1455</v>
      </c>
      <c r="B957" s="1">
        <v>43826</v>
      </c>
      <c r="C957" t="s">
        <v>31</v>
      </c>
      <c r="D957" t="s">
        <v>18</v>
      </c>
      <c r="E957" t="s">
        <v>19</v>
      </c>
      <c r="F957" t="s">
        <v>20</v>
      </c>
      <c r="G957" t="s">
        <v>21</v>
      </c>
      <c r="H957" t="s">
        <v>35</v>
      </c>
      <c r="I957" t="s">
        <v>23</v>
      </c>
      <c r="J957" t="s">
        <v>24</v>
      </c>
      <c r="K957" t="s">
        <v>64</v>
      </c>
      <c r="L957">
        <v>2</v>
      </c>
      <c r="M957">
        <v>2</v>
      </c>
      <c r="N957">
        <v>4</v>
      </c>
      <c r="O957">
        <v>5</v>
      </c>
      <c r="P957">
        <v>223.34</v>
      </c>
      <c r="Q957">
        <v>24</v>
      </c>
      <c r="S957">
        <f t="shared" si="56"/>
        <v>557.6865165165168</v>
      </c>
      <c r="T957">
        <f t="shared" si="57"/>
        <v>153</v>
      </c>
      <c r="U957">
        <f t="shared" si="58"/>
        <v>1.9139139139139139</v>
      </c>
      <c r="V957">
        <f t="shared" si="59"/>
        <v>557.6865165165168</v>
      </c>
    </row>
    <row r="958" spans="1:22" x14ac:dyDescent="0.25">
      <c r="A958">
        <v>1456</v>
      </c>
      <c r="B958" s="1">
        <v>43641</v>
      </c>
      <c r="C958" t="s">
        <v>60</v>
      </c>
      <c r="D958" t="s">
        <v>18</v>
      </c>
      <c r="E958" t="s">
        <v>32</v>
      </c>
      <c r="F958" t="s">
        <v>33</v>
      </c>
      <c r="G958" t="s">
        <v>21</v>
      </c>
      <c r="H958" t="s">
        <v>47</v>
      </c>
      <c r="I958" t="s">
        <v>23</v>
      </c>
      <c r="J958" t="s">
        <v>24</v>
      </c>
      <c r="K958" t="s">
        <v>46</v>
      </c>
      <c r="L958">
        <v>2</v>
      </c>
      <c r="M958">
        <v>1</v>
      </c>
      <c r="N958">
        <v>5</v>
      </c>
      <c r="O958">
        <v>3</v>
      </c>
      <c r="P958">
        <v>456.95</v>
      </c>
      <c r="Q958">
        <v>63</v>
      </c>
      <c r="S958">
        <f t="shared" si="56"/>
        <v>557.6865165165168</v>
      </c>
      <c r="T958">
        <f t="shared" si="57"/>
        <v>153</v>
      </c>
      <c r="U958">
        <f t="shared" si="58"/>
        <v>1.9139139139139139</v>
      </c>
      <c r="V958">
        <f t="shared" si="59"/>
        <v>557.6865165165168</v>
      </c>
    </row>
    <row r="959" spans="1:22" x14ac:dyDescent="0.25">
      <c r="A959">
        <v>1457</v>
      </c>
      <c r="B959" s="1">
        <v>43427</v>
      </c>
      <c r="C959" t="s">
        <v>52</v>
      </c>
      <c r="D959" t="s">
        <v>18</v>
      </c>
      <c r="E959" t="s">
        <v>19</v>
      </c>
      <c r="F959" t="s">
        <v>27</v>
      </c>
      <c r="G959" t="s">
        <v>21</v>
      </c>
      <c r="H959" t="s">
        <v>41</v>
      </c>
      <c r="I959" t="s">
        <v>23</v>
      </c>
      <c r="J959" t="s">
        <v>24</v>
      </c>
      <c r="K959" t="s">
        <v>46</v>
      </c>
      <c r="L959">
        <v>2</v>
      </c>
      <c r="M959">
        <v>1</v>
      </c>
      <c r="N959">
        <v>1</v>
      </c>
      <c r="O959">
        <v>5</v>
      </c>
      <c r="P959">
        <v>988.47</v>
      </c>
      <c r="Q959">
        <v>41</v>
      </c>
      <c r="S959">
        <f t="shared" si="56"/>
        <v>557.6865165165168</v>
      </c>
      <c r="T959">
        <f t="shared" si="57"/>
        <v>153</v>
      </c>
      <c r="U959">
        <f t="shared" si="58"/>
        <v>1.9139139139139139</v>
      </c>
      <c r="V959">
        <f t="shared" si="59"/>
        <v>557.6865165165168</v>
      </c>
    </row>
    <row r="960" spans="1:22" x14ac:dyDescent="0.25">
      <c r="A960">
        <v>1458</v>
      </c>
      <c r="B960" s="1">
        <v>44213</v>
      </c>
      <c r="C960" t="s">
        <v>37</v>
      </c>
      <c r="D960" t="s">
        <v>18</v>
      </c>
      <c r="E960" t="s">
        <v>32</v>
      </c>
      <c r="F960" t="s">
        <v>27</v>
      </c>
      <c r="G960" t="s">
        <v>21</v>
      </c>
      <c r="H960" t="s">
        <v>67</v>
      </c>
      <c r="I960" t="s">
        <v>23</v>
      </c>
      <c r="J960" t="s">
        <v>24</v>
      </c>
      <c r="K960" t="s">
        <v>46</v>
      </c>
      <c r="L960">
        <v>2</v>
      </c>
      <c r="M960">
        <v>2</v>
      </c>
      <c r="N960">
        <v>4</v>
      </c>
      <c r="O960">
        <v>1</v>
      </c>
      <c r="P960">
        <v>429.49</v>
      </c>
      <c r="Q960">
        <v>27</v>
      </c>
      <c r="S960">
        <f t="shared" si="56"/>
        <v>557.6865165165168</v>
      </c>
      <c r="T960">
        <f t="shared" si="57"/>
        <v>153</v>
      </c>
      <c r="U960">
        <f t="shared" si="58"/>
        <v>1.9139139139139139</v>
      </c>
      <c r="V960">
        <f t="shared" si="59"/>
        <v>557.6865165165168</v>
      </c>
    </row>
    <row r="961" spans="1:22" x14ac:dyDescent="0.25">
      <c r="A961">
        <v>1459</v>
      </c>
      <c r="B961" s="1">
        <v>44447</v>
      </c>
      <c r="C961" t="s">
        <v>43</v>
      </c>
      <c r="D961" t="s">
        <v>18</v>
      </c>
      <c r="E961" t="s">
        <v>19</v>
      </c>
      <c r="F961" t="s">
        <v>20</v>
      </c>
      <c r="G961" t="s">
        <v>21</v>
      </c>
      <c r="H961" t="s">
        <v>47</v>
      </c>
      <c r="I961" t="s">
        <v>23</v>
      </c>
      <c r="J961" t="s">
        <v>30</v>
      </c>
      <c r="K961" t="s">
        <v>46</v>
      </c>
      <c r="L961">
        <v>5</v>
      </c>
      <c r="M961">
        <v>2</v>
      </c>
      <c r="N961">
        <v>5</v>
      </c>
      <c r="O961">
        <v>3</v>
      </c>
      <c r="P961">
        <v>798.97</v>
      </c>
      <c r="Q961">
        <v>75</v>
      </c>
      <c r="S961">
        <f t="shared" si="56"/>
        <v>557.6865165165168</v>
      </c>
      <c r="T961">
        <f t="shared" si="57"/>
        <v>153</v>
      </c>
      <c r="U961">
        <f t="shared" si="58"/>
        <v>1.9139139139139139</v>
      </c>
      <c r="V961">
        <f t="shared" si="59"/>
        <v>557.6865165165168</v>
      </c>
    </row>
    <row r="962" spans="1:22" x14ac:dyDescent="0.25">
      <c r="A962">
        <v>1460</v>
      </c>
      <c r="B962" s="1">
        <v>44251</v>
      </c>
      <c r="C962" t="s">
        <v>40</v>
      </c>
      <c r="D962" t="s">
        <v>18</v>
      </c>
      <c r="E962" t="s">
        <v>32</v>
      </c>
      <c r="F962" t="s">
        <v>27</v>
      </c>
      <c r="G962" t="s">
        <v>21</v>
      </c>
      <c r="H962" t="s">
        <v>67</v>
      </c>
      <c r="I962" t="s">
        <v>23</v>
      </c>
      <c r="J962" t="s">
        <v>30</v>
      </c>
      <c r="K962" t="s">
        <v>46</v>
      </c>
      <c r="L962">
        <v>2</v>
      </c>
      <c r="M962">
        <v>3</v>
      </c>
      <c r="N962">
        <v>1</v>
      </c>
      <c r="O962">
        <v>2</v>
      </c>
      <c r="P962">
        <v>864.22</v>
      </c>
      <c r="Q962">
        <v>66</v>
      </c>
      <c r="S962">
        <f t="shared" ref="S962:S1000" si="60">AVERAGE(P:P)-1</f>
        <v>557.6865165165168</v>
      </c>
      <c r="T962">
        <f t="shared" ref="T962:T1000" si="61">COUNTIF(D:D,"Inactive")</f>
        <v>153</v>
      </c>
      <c r="U962">
        <f t="shared" ref="U962:U1000" si="62">AVERAGE(L:L)-1</f>
        <v>1.9139139139139139</v>
      </c>
      <c r="V962">
        <f t="shared" ref="V962:V1000" si="63">AVERAGE(P:P)-1</f>
        <v>557.6865165165168</v>
      </c>
    </row>
    <row r="963" spans="1:22" x14ac:dyDescent="0.25">
      <c r="A963">
        <v>1461</v>
      </c>
      <c r="B963" s="1">
        <v>43567</v>
      </c>
      <c r="C963" t="s">
        <v>17</v>
      </c>
      <c r="D963" t="s">
        <v>18</v>
      </c>
      <c r="E963" t="s">
        <v>32</v>
      </c>
      <c r="F963" t="s">
        <v>20</v>
      </c>
      <c r="G963" t="s">
        <v>21</v>
      </c>
      <c r="H963" t="s">
        <v>62</v>
      </c>
      <c r="I963" t="s">
        <v>23</v>
      </c>
      <c r="J963" t="s">
        <v>24</v>
      </c>
      <c r="K963" t="s">
        <v>46</v>
      </c>
      <c r="L963">
        <v>1</v>
      </c>
      <c r="M963">
        <v>1</v>
      </c>
      <c r="N963">
        <v>2</v>
      </c>
      <c r="O963">
        <v>1</v>
      </c>
      <c r="P963">
        <v>302.52</v>
      </c>
      <c r="Q963">
        <v>18</v>
      </c>
      <c r="S963">
        <f t="shared" si="60"/>
        <v>557.6865165165168</v>
      </c>
      <c r="T963">
        <f t="shared" si="61"/>
        <v>153</v>
      </c>
      <c r="U963">
        <f t="shared" si="62"/>
        <v>1.9139139139139139</v>
      </c>
      <c r="V963">
        <f t="shared" si="63"/>
        <v>557.6865165165168</v>
      </c>
    </row>
    <row r="964" spans="1:22" x14ac:dyDescent="0.25">
      <c r="A964">
        <v>1462</v>
      </c>
      <c r="B964" s="1">
        <v>45120</v>
      </c>
      <c r="C964" t="s">
        <v>26</v>
      </c>
      <c r="D964" t="s">
        <v>18</v>
      </c>
      <c r="E964" t="s">
        <v>19</v>
      </c>
      <c r="F964" t="s">
        <v>20</v>
      </c>
      <c r="G964" t="s">
        <v>21</v>
      </c>
      <c r="H964" t="s">
        <v>63</v>
      </c>
      <c r="I964" t="s">
        <v>23</v>
      </c>
      <c r="J964" t="s">
        <v>24</v>
      </c>
      <c r="K964" t="s">
        <v>46</v>
      </c>
      <c r="L964">
        <v>4</v>
      </c>
      <c r="M964">
        <v>5</v>
      </c>
      <c r="N964">
        <v>5</v>
      </c>
      <c r="O964">
        <v>4</v>
      </c>
      <c r="P964">
        <v>152.66</v>
      </c>
      <c r="Q964">
        <v>63</v>
      </c>
      <c r="S964">
        <f t="shared" si="60"/>
        <v>557.6865165165168</v>
      </c>
      <c r="T964">
        <f t="shared" si="61"/>
        <v>153</v>
      </c>
      <c r="U964">
        <f t="shared" si="62"/>
        <v>1.9139139139139139</v>
      </c>
      <c r="V964">
        <f t="shared" si="63"/>
        <v>557.6865165165168</v>
      </c>
    </row>
    <row r="965" spans="1:22" x14ac:dyDescent="0.25">
      <c r="A965">
        <v>1463</v>
      </c>
      <c r="B965" s="1">
        <v>44109</v>
      </c>
      <c r="C965" t="s">
        <v>54</v>
      </c>
      <c r="D965" t="s">
        <v>18</v>
      </c>
      <c r="E965" t="s">
        <v>19</v>
      </c>
      <c r="F965" t="s">
        <v>20</v>
      </c>
      <c r="G965" t="s">
        <v>21</v>
      </c>
      <c r="H965" t="s">
        <v>41</v>
      </c>
      <c r="I965" t="s">
        <v>23</v>
      </c>
      <c r="J965" t="s">
        <v>24</v>
      </c>
      <c r="K965" t="s">
        <v>46</v>
      </c>
      <c r="L965">
        <v>5</v>
      </c>
      <c r="M965">
        <v>4</v>
      </c>
      <c r="N965">
        <v>5</v>
      </c>
      <c r="O965">
        <v>2</v>
      </c>
      <c r="P965">
        <v>399.05</v>
      </c>
      <c r="Q965">
        <v>45</v>
      </c>
      <c r="S965">
        <f t="shared" si="60"/>
        <v>557.6865165165168</v>
      </c>
      <c r="T965">
        <f t="shared" si="61"/>
        <v>153</v>
      </c>
      <c r="U965">
        <f t="shared" si="62"/>
        <v>1.9139139139139139</v>
      </c>
      <c r="V965">
        <f t="shared" si="63"/>
        <v>557.6865165165168</v>
      </c>
    </row>
    <row r="966" spans="1:22" x14ac:dyDescent="0.25">
      <c r="A966">
        <v>1464</v>
      </c>
      <c r="B966" s="1">
        <v>43492</v>
      </c>
      <c r="C966" t="s">
        <v>49</v>
      </c>
      <c r="D966" t="s">
        <v>18</v>
      </c>
      <c r="E966" t="s">
        <v>28</v>
      </c>
      <c r="F966" t="s">
        <v>20</v>
      </c>
      <c r="G966" t="s">
        <v>21</v>
      </c>
      <c r="H966" t="s">
        <v>35</v>
      </c>
      <c r="I966" t="s">
        <v>23</v>
      </c>
      <c r="J966" t="s">
        <v>24</v>
      </c>
      <c r="K966" t="s">
        <v>46</v>
      </c>
      <c r="L966">
        <v>2</v>
      </c>
      <c r="M966">
        <v>5</v>
      </c>
      <c r="N966">
        <v>1</v>
      </c>
      <c r="O966">
        <v>2</v>
      </c>
      <c r="P966">
        <v>791.74</v>
      </c>
      <c r="Q966">
        <v>62</v>
      </c>
      <c r="S966">
        <f t="shared" si="60"/>
        <v>557.6865165165168</v>
      </c>
      <c r="T966">
        <f t="shared" si="61"/>
        <v>153</v>
      </c>
      <c r="U966">
        <f t="shared" si="62"/>
        <v>1.9139139139139139</v>
      </c>
      <c r="V966">
        <f t="shared" si="63"/>
        <v>557.6865165165168</v>
      </c>
    </row>
    <row r="967" spans="1:22" x14ac:dyDescent="0.25">
      <c r="A967">
        <v>1465</v>
      </c>
      <c r="B967" s="1">
        <v>44182</v>
      </c>
      <c r="C967" t="s">
        <v>31</v>
      </c>
      <c r="D967" t="s">
        <v>18</v>
      </c>
      <c r="E967" t="s">
        <v>28</v>
      </c>
      <c r="F967" t="s">
        <v>27</v>
      </c>
      <c r="G967" t="s">
        <v>21</v>
      </c>
      <c r="H967" t="s">
        <v>74</v>
      </c>
      <c r="I967" t="s">
        <v>23</v>
      </c>
      <c r="J967" t="s">
        <v>24</v>
      </c>
      <c r="K967" t="s">
        <v>46</v>
      </c>
      <c r="L967">
        <v>1</v>
      </c>
      <c r="M967">
        <v>1</v>
      </c>
      <c r="N967">
        <v>3</v>
      </c>
      <c r="O967">
        <v>4</v>
      </c>
      <c r="P967">
        <v>770.23</v>
      </c>
      <c r="Q967">
        <v>62</v>
      </c>
      <c r="S967">
        <f t="shared" si="60"/>
        <v>557.6865165165168</v>
      </c>
      <c r="T967">
        <f t="shared" si="61"/>
        <v>153</v>
      </c>
      <c r="U967">
        <f t="shared" si="62"/>
        <v>1.9139139139139139</v>
      </c>
      <c r="V967">
        <f t="shared" si="63"/>
        <v>557.6865165165168</v>
      </c>
    </row>
    <row r="968" spans="1:22" x14ac:dyDescent="0.25">
      <c r="A968">
        <v>1466</v>
      </c>
      <c r="B968" s="1">
        <v>44259</v>
      </c>
      <c r="C968" t="s">
        <v>60</v>
      </c>
      <c r="D968" t="s">
        <v>18</v>
      </c>
      <c r="E968" t="s">
        <v>32</v>
      </c>
      <c r="F968" t="s">
        <v>27</v>
      </c>
      <c r="G968" t="s">
        <v>21</v>
      </c>
      <c r="H968" t="s">
        <v>73</v>
      </c>
      <c r="I968" t="s">
        <v>23</v>
      </c>
      <c r="J968" t="s">
        <v>24</v>
      </c>
      <c r="K968" t="s">
        <v>46</v>
      </c>
      <c r="L968">
        <v>1</v>
      </c>
      <c r="M968">
        <v>4</v>
      </c>
      <c r="N968">
        <v>5</v>
      </c>
      <c r="O968">
        <v>3</v>
      </c>
      <c r="P968">
        <v>746.05</v>
      </c>
      <c r="Q968">
        <v>32</v>
      </c>
      <c r="S968">
        <f t="shared" si="60"/>
        <v>557.6865165165168</v>
      </c>
      <c r="T968">
        <f t="shared" si="61"/>
        <v>153</v>
      </c>
      <c r="U968">
        <f t="shared" si="62"/>
        <v>1.9139139139139139</v>
      </c>
      <c r="V968">
        <f t="shared" si="63"/>
        <v>557.6865165165168</v>
      </c>
    </row>
    <row r="969" spans="1:22" x14ac:dyDescent="0.25">
      <c r="A969">
        <v>1467</v>
      </c>
      <c r="B969" s="1">
        <v>45015</v>
      </c>
      <c r="C969" t="s">
        <v>52</v>
      </c>
      <c r="D969" t="s">
        <v>18</v>
      </c>
      <c r="E969" t="s">
        <v>32</v>
      </c>
      <c r="F969" t="s">
        <v>27</v>
      </c>
      <c r="G969" t="s">
        <v>21</v>
      </c>
      <c r="H969" t="s">
        <v>70</v>
      </c>
      <c r="I969" t="s">
        <v>23</v>
      </c>
      <c r="J969" t="s">
        <v>24</v>
      </c>
      <c r="K969" t="s">
        <v>25</v>
      </c>
      <c r="L969">
        <v>3</v>
      </c>
      <c r="M969">
        <v>4</v>
      </c>
      <c r="N969">
        <v>2</v>
      </c>
      <c r="O969">
        <v>2</v>
      </c>
      <c r="P969">
        <v>177.66</v>
      </c>
      <c r="Q969">
        <v>34</v>
      </c>
      <c r="S969">
        <f t="shared" si="60"/>
        <v>557.6865165165168</v>
      </c>
      <c r="T969">
        <f t="shared" si="61"/>
        <v>153</v>
      </c>
      <c r="U969">
        <f t="shared" si="62"/>
        <v>1.9139139139139139</v>
      </c>
      <c r="V969">
        <f t="shared" si="63"/>
        <v>557.6865165165168</v>
      </c>
    </row>
    <row r="970" spans="1:22" x14ac:dyDescent="0.25">
      <c r="A970">
        <v>1468</v>
      </c>
      <c r="B970" s="1">
        <v>43461</v>
      </c>
      <c r="C970" t="s">
        <v>37</v>
      </c>
      <c r="D970" t="s">
        <v>18</v>
      </c>
      <c r="E970" t="s">
        <v>19</v>
      </c>
      <c r="F970" t="s">
        <v>27</v>
      </c>
      <c r="G970" t="s">
        <v>21</v>
      </c>
      <c r="H970" t="s">
        <v>41</v>
      </c>
      <c r="I970" t="s">
        <v>23</v>
      </c>
      <c r="J970" t="s">
        <v>24</v>
      </c>
      <c r="K970" t="s">
        <v>46</v>
      </c>
      <c r="L970">
        <v>3</v>
      </c>
      <c r="M970">
        <v>1</v>
      </c>
      <c r="N970">
        <v>3</v>
      </c>
      <c r="O970">
        <v>5</v>
      </c>
      <c r="P970">
        <v>429.38</v>
      </c>
      <c r="Q970">
        <v>53</v>
      </c>
      <c r="S970">
        <f t="shared" si="60"/>
        <v>557.6865165165168</v>
      </c>
      <c r="T970">
        <f t="shared" si="61"/>
        <v>153</v>
      </c>
      <c r="U970">
        <f t="shared" si="62"/>
        <v>1.9139139139139139</v>
      </c>
      <c r="V970">
        <f t="shared" si="63"/>
        <v>557.6865165165168</v>
      </c>
    </row>
    <row r="971" spans="1:22" x14ac:dyDescent="0.25">
      <c r="A971">
        <v>1469</v>
      </c>
      <c r="B971" s="1">
        <v>44459</v>
      </c>
      <c r="C971" t="s">
        <v>43</v>
      </c>
      <c r="D971" t="s">
        <v>18</v>
      </c>
      <c r="E971" t="s">
        <v>32</v>
      </c>
      <c r="F971" t="s">
        <v>33</v>
      </c>
      <c r="G971" t="s">
        <v>21</v>
      </c>
      <c r="H971" t="s">
        <v>41</v>
      </c>
      <c r="I971" t="s">
        <v>23</v>
      </c>
      <c r="J971" t="s">
        <v>24</v>
      </c>
      <c r="K971" t="s">
        <v>46</v>
      </c>
      <c r="L971">
        <v>4</v>
      </c>
      <c r="M971">
        <v>2</v>
      </c>
      <c r="N971">
        <v>4</v>
      </c>
      <c r="O971">
        <v>3</v>
      </c>
      <c r="P971">
        <v>867.59</v>
      </c>
      <c r="Q971">
        <v>45</v>
      </c>
      <c r="S971">
        <f t="shared" si="60"/>
        <v>557.6865165165168</v>
      </c>
      <c r="T971">
        <f t="shared" si="61"/>
        <v>153</v>
      </c>
      <c r="U971">
        <f t="shared" si="62"/>
        <v>1.9139139139139139</v>
      </c>
      <c r="V971">
        <f t="shared" si="63"/>
        <v>557.6865165165168</v>
      </c>
    </row>
    <row r="972" spans="1:22" x14ac:dyDescent="0.25">
      <c r="A972">
        <v>1470</v>
      </c>
      <c r="B972" s="1">
        <v>44965</v>
      </c>
      <c r="C972" t="s">
        <v>40</v>
      </c>
      <c r="D972" t="s">
        <v>18</v>
      </c>
      <c r="E972" t="s">
        <v>28</v>
      </c>
      <c r="F972" t="s">
        <v>33</v>
      </c>
      <c r="G972" t="s">
        <v>21</v>
      </c>
      <c r="H972" t="s">
        <v>35</v>
      </c>
      <c r="I972" t="s">
        <v>23</v>
      </c>
      <c r="J972" t="s">
        <v>24</v>
      </c>
      <c r="K972" t="s">
        <v>46</v>
      </c>
      <c r="L972">
        <v>1</v>
      </c>
      <c r="M972">
        <v>4</v>
      </c>
      <c r="N972">
        <v>1</v>
      </c>
      <c r="O972">
        <v>5</v>
      </c>
      <c r="P972">
        <v>502.65</v>
      </c>
      <c r="Q972">
        <v>28</v>
      </c>
      <c r="S972">
        <f t="shared" si="60"/>
        <v>557.6865165165168</v>
      </c>
      <c r="T972">
        <f t="shared" si="61"/>
        <v>153</v>
      </c>
      <c r="U972">
        <f t="shared" si="62"/>
        <v>1.9139139139139139</v>
      </c>
      <c r="V972">
        <f t="shared" si="63"/>
        <v>557.6865165165168</v>
      </c>
    </row>
    <row r="973" spans="1:22" x14ac:dyDescent="0.25">
      <c r="A973">
        <v>1471</v>
      </c>
      <c r="B973" s="1">
        <v>43754</v>
      </c>
      <c r="C973" t="s">
        <v>17</v>
      </c>
      <c r="D973" t="s">
        <v>84</v>
      </c>
      <c r="E973" t="s">
        <v>32</v>
      </c>
      <c r="F973" t="s">
        <v>33</v>
      </c>
      <c r="G973" t="s">
        <v>21</v>
      </c>
      <c r="H973" t="s">
        <v>41</v>
      </c>
      <c r="I973" t="s">
        <v>23</v>
      </c>
      <c r="J973" t="s">
        <v>30</v>
      </c>
      <c r="K973" t="s">
        <v>46</v>
      </c>
      <c r="L973">
        <v>3</v>
      </c>
      <c r="M973">
        <v>4</v>
      </c>
      <c r="N973">
        <v>2</v>
      </c>
      <c r="O973">
        <v>3</v>
      </c>
      <c r="P973">
        <v>488.68</v>
      </c>
      <c r="Q973">
        <v>59</v>
      </c>
      <c r="S973">
        <f t="shared" si="60"/>
        <v>557.6865165165168</v>
      </c>
      <c r="T973">
        <f t="shared" si="61"/>
        <v>153</v>
      </c>
      <c r="U973">
        <f t="shared" si="62"/>
        <v>1.9139139139139139</v>
      </c>
      <c r="V973">
        <f t="shared" si="63"/>
        <v>557.6865165165168</v>
      </c>
    </row>
    <row r="974" spans="1:22" x14ac:dyDescent="0.25">
      <c r="A974">
        <v>1472</v>
      </c>
      <c r="B974" s="1">
        <v>44439</v>
      </c>
      <c r="C974" t="s">
        <v>52</v>
      </c>
      <c r="D974" t="s">
        <v>18</v>
      </c>
      <c r="E974" t="s">
        <v>19</v>
      </c>
      <c r="F974" t="s">
        <v>20</v>
      </c>
      <c r="G974" t="s">
        <v>21</v>
      </c>
      <c r="H974" t="s">
        <v>62</v>
      </c>
      <c r="I974" t="s">
        <v>23</v>
      </c>
      <c r="J974" t="s">
        <v>30</v>
      </c>
      <c r="K974" t="s">
        <v>46</v>
      </c>
      <c r="L974">
        <v>2</v>
      </c>
      <c r="M974">
        <v>4</v>
      </c>
      <c r="N974">
        <v>1</v>
      </c>
      <c r="O974">
        <v>3</v>
      </c>
      <c r="P974">
        <v>416.76</v>
      </c>
      <c r="Q974">
        <v>49</v>
      </c>
      <c r="S974">
        <f t="shared" si="60"/>
        <v>557.6865165165168</v>
      </c>
      <c r="T974">
        <f t="shared" si="61"/>
        <v>153</v>
      </c>
      <c r="U974">
        <f t="shared" si="62"/>
        <v>1.9139139139139139</v>
      </c>
      <c r="V974">
        <f t="shared" si="63"/>
        <v>557.6865165165168</v>
      </c>
    </row>
    <row r="975" spans="1:22" x14ac:dyDescent="0.25">
      <c r="A975">
        <v>1473</v>
      </c>
      <c r="B975" s="1">
        <v>44099</v>
      </c>
      <c r="C975" t="s">
        <v>26</v>
      </c>
      <c r="D975" t="s">
        <v>18</v>
      </c>
      <c r="E975" t="s">
        <v>19</v>
      </c>
      <c r="F975" t="s">
        <v>33</v>
      </c>
      <c r="G975" t="s">
        <v>21</v>
      </c>
      <c r="H975" t="s">
        <v>41</v>
      </c>
      <c r="I975" t="s">
        <v>23</v>
      </c>
      <c r="J975" t="s">
        <v>24</v>
      </c>
      <c r="K975" t="s">
        <v>46</v>
      </c>
      <c r="L975">
        <v>5</v>
      </c>
      <c r="M975">
        <v>2</v>
      </c>
      <c r="N975">
        <v>1</v>
      </c>
      <c r="O975">
        <v>4</v>
      </c>
      <c r="P975">
        <v>336.08</v>
      </c>
      <c r="Q975">
        <v>78</v>
      </c>
      <c r="S975">
        <f t="shared" si="60"/>
        <v>557.6865165165168</v>
      </c>
      <c r="T975">
        <f t="shared" si="61"/>
        <v>153</v>
      </c>
      <c r="U975">
        <f t="shared" si="62"/>
        <v>1.9139139139139139</v>
      </c>
      <c r="V975">
        <f t="shared" si="63"/>
        <v>557.6865165165168</v>
      </c>
    </row>
    <row r="976" spans="1:22" x14ac:dyDescent="0.25">
      <c r="A976">
        <v>1474</v>
      </c>
      <c r="B976" s="1">
        <v>44958</v>
      </c>
      <c r="C976" t="s">
        <v>54</v>
      </c>
      <c r="D976" t="s">
        <v>84</v>
      </c>
      <c r="E976" t="s">
        <v>32</v>
      </c>
      <c r="F976" t="s">
        <v>20</v>
      </c>
      <c r="G976" t="s">
        <v>21</v>
      </c>
      <c r="H976" t="s">
        <v>47</v>
      </c>
      <c r="I976" t="s">
        <v>23</v>
      </c>
      <c r="J976" t="s">
        <v>24</v>
      </c>
      <c r="K976" t="s">
        <v>46</v>
      </c>
      <c r="L976">
        <v>2</v>
      </c>
      <c r="M976">
        <v>1</v>
      </c>
      <c r="N976">
        <v>3</v>
      </c>
      <c r="O976">
        <v>1</v>
      </c>
      <c r="P976">
        <v>798.37</v>
      </c>
      <c r="Q976">
        <v>81</v>
      </c>
      <c r="S976">
        <f t="shared" si="60"/>
        <v>557.6865165165168</v>
      </c>
      <c r="T976">
        <f t="shared" si="61"/>
        <v>153</v>
      </c>
      <c r="U976">
        <f t="shared" si="62"/>
        <v>1.9139139139139139</v>
      </c>
      <c r="V976">
        <f t="shared" si="63"/>
        <v>557.6865165165168</v>
      </c>
    </row>
    <row r="977" spans="1:22" x14ac:dyDescent="0.25">
      <c r="A977">
        <v>1475</v>
      </c>
      <c r="B977" s="1">
        <v>44943</v>
      </c>
      <c r="C977" t="s">
        <v>37</v>
      </c>
      <c r="D977" t="s">
        <v>18</v>
      </c>
      <c r="E977" t="s">
        <v>32</v>
      </c>
      <c r="F977" t="s">
        <v>27</v>
      </c>
      <c r="G977" t="s">
        <v>21</v>
      </c>
      <c r="H977" t="s">
        <v>67</v>
      </c>
      <c r="I977" t="s">
        <v>23</v>
      </c>
      <c r="J977" t="s">
        <v>30</v>
      </c>
      <c r="K977" t="s">
        <v>46</v>
      </c>
      <c r="L977">
        <v>2</v>
      </c>
      <c r="M977">
        <v>3</v>
      </c>
      <c r="N977">
        <v>3</v>
      </c>
      <c r="O977">
        <v>3</v>
      </c>
      <c r="P977">
        <v>499.48</v>
      </c>
      <c r="Q977">
        <v>30</v>
      </c>
      <c r="S977">
        <f t="shared" si="60"/>
        <v>557.6865165165168</v>
      </c>
      <c r="T977">
        <f t="shared" si="61"/>
        <v>153</v>
      </c>
      <c r="U977">
        <f t="shared" si="62"/>
        <v>1.9139139139139139</v>
      </c>
      <c r="V977">
        <f t="shared" si="63"/>
        <v>557.6865165165168</v>
      </c>
    </row>
    <row r="978" spans="1:22" x14ac:dyDescent="0.25">
      <c r="A978">
        <v>1476</v>
      </c>
      <c r="B978" s="1">
        <v>43806</v>
      </c>
      <c r="C978" t="s">
        <v>60</v>
      </c>
      <c r="D978" t="s">
        <v>84</v>
      </c>
      <c r="E978" t="s">
        <v>19</v>
      </c>
      <c r="F978" t="s">
        <v>20</v>
      </c>
      <c r="G978" t="s">
        <v>21</v>
      </c>
      <c r="H978" t="s">
        <v>41</v>
      </c>
      <c r="I978" t="s">
        <v>23</v>
      </c>
      <c r="J978" t="s">
        <v>30</v>
      </c>
      <c r="K978" t="s">
        <v>72</v>
      </c>
      <c r="L978">
        <v>1</v>
      </c>
      <c r="M978">
        <v>4</v>
      </c>
      <c r="N978">
        <v>1</v>
      </c>
      <c r="O978">
        <v>2</v>
      </c>
      <c r="P978">
        <v>615.32000000000005</v>
      </c>
      <c r="Q978">
        <v>57</v>
      </c>
      <c r="S978">
        <f t="shared" si="60"/>
        <v>557.6865165165168</v>
      </c>
      <c r="T978">
        <f t="shared" si="61"/>
        <v>153</v>
      </c>
      <c r="U978">
        <f t="shared" si="62"/>
        <v>1.9139139139139139</v>
      </c>
      <c r="V978">
        <f t="shared" si="63"/>
        <v>557.6865165165168</v>
      </c>
    </row>
    <row r="979" spans="1:22" x14ac:dyDescent="0.25">
      <c r="A979">
        <v>1477</v>
      </c>
      <c r="B979" s="1">
        <v>43425</v>
      </c>
      <c r="C979" t="s">
        <v>17</v>
      </c>
      <c r="D979" t="s">
        <v>18</v>
      </c>
      <c r="E979" t="s">
        <v>19</v>
      </c>
      <c r="F979" t="s">
        <v>33</v>
      </c>
      <c r="G979" t="s">
        <v>21</v>
      </c>
      <c r="H979" t="s">
        <v>67</v>
      </c>
      <c r="I979" t="s">
        <v>23</v>
      </c>
      <c r="J979" t="s">
        <v>24</v>
      </c>
      <c r="K979" t="s">
        <v>46</v>
      </c>
      <c r="L979">
        <v>5</v>
      </c>
      <c r="M979">
        <v>5</v>
      </c>
      <c r="N979">
        <v>3</v>
      </c>
      <c r="O979">
        <v>5</v>
      </c>
      <c r="P979">
        <v>410.36</v>
      </c>
      <c r="Q979">
        <v>55</v>
      </c>
      <c r="S979">
        <f t="shared" si="60"/>
        <v>557.6865165165168</v>
      </c>
      <c r="T979">
        <f t="shared" si="61"/>
        <v>153</v>
      </c>
      <c r="U979">
        <f t="shared" si="62"/>
        <v>1.9139139139139139</v>
      </c>
      <c r="V979">
        <f t="shared" si="63"/>
        <v>557.6865165165168</v>
      </c>
    </row>
    <row r="980" spans="1:22" x14ac:dyDescent="0.25">
      <c r="A980">
        <v>1478</v>
      </c>
      <c r="B980" s="1">
        <v>44242</v>
      </c>
      <c r="C980" t="s">
        <v>52</v>
      </c>
      <c r="D980" t="s">
        <v>18</v>
      </c>
      <c r="E980" t="s">
        <v>28</v>
      </c>
      <c r="F980" t="s">
        <v>33</v>
      </c>
      <c r="G980" t="s">
        <v>21</v>
      </c>
      <c r="H980" t="s">
        <v>41</v>
      </c>
      <c r="I980" t="s">
        <v>23</v>
      </c>
      <c r="J980" t="s">
        <v>24</v>
      </c>
      <c r="K980" t="s">
        <v>46</v>
      </c>
      <c r="L980">
        <v>1</v>
      </c>
      <c r="M980">
        <v>1</v>
      </c>
      <c r="N980">
        <v>3</v>
      </c>
      <c r="O980">
        <v>5</v>
      </c>
      <c r="P980">
        <v>453.86</v>
      </c>
      <c r="Q980">
        <v>68</v>
      </c>
      <c r="S980">
        <f t="shared" si="60"/>
        <v>557.6865165165168</v>
      </c>
      <c r="T980">
        <f t="shared" si="61"/>
        <v>153</v>
      </c>
      <c r="U980">
        <f t="shared" si="62"/>
        <v>1.9139139139139139</v>
      </c>
      <c r="V980">
        <f t="shared" si="63"/>
        <v>557.6865165165168</v>
      </c>
    </row>
    <row r="981" spans="1:22" x14ac:dyDescent="0.25">
      <c r="A981">
        <v>1479</v>
      </c>
      <c r="B981" s="1">
        <v>44202</v>
      </c>
      <c r="C981" t="s">
        <v>26</v>
      </c>
      <c r="D981" t="s">
        <v>18</v>
      </c>
      <c r="E981" t="s">
        <v>28</v>
      </c>
      <c r="F981" t="s">
        <v>33</v>
      </c>
      <c r="G981" t="s">
        <v>21</v>
      </c>
      <c r="H981" t="s">
        <v>62</v>
      </c>
      <c r="I981" t="s">
        <v>23</v>
      </c>
      <c r="J981" t="s">
        <v>24</v>
      </c>
      <c r="K981" t="s">
        <v>46</v>
      </c>
      <c r="L981">
        <v>3</v>
      </c>
      <c r="M981">
        <v>4</v>
      </c>
      <c r="N981">
        <v>2</v>
      </c>
      <c r="O981">
        <v>1</v>
      </c>
      <c r="P981">
        <v>975.27</v>
      </c>
      <c r="Q981">
        <v>70</v>
      </c>
      <c r="S981">
        <f t="shared" si="60"/>
        <v>557.6865165165168</v>
      </c>
      <c r="T981">
        <f t="shared" si="61"/>
        <v>153</v>
      </c>
      <c r="U981">
        <f t="shared" si="62"/>
        <v>1.9139139139139139</v>
      </c>
      <c r="V981">
        <f t="shared" si="63"/>
        <v>557.6865165165168</v>
      </c>
    </row>
    <row r="982" spans="1:22" x14ac:dyDescent="0.25">
      <c r="A982">
        <v>1480</v>
      </c>
      <c r="B982" s="1">
        <v>43483</v>
      </c>
      <c r="C982" t="s">
        <v>54</v>
      </c>
      <c r="D982" t="s">
        <v>18</v>
      </c>
      <c r="E982" t="s">
        <v>28</v>
      </c>
      <c r="F982" t="s">
        <v>33</v>
      </c>
      <c r="G982" t="s">
        <v>21</v>
      </c>
      <c r="H982" t="s">
        <v>66</v>
      </c>
      <c r="I982" t="s">
        <v>23</v>
      </c>
      <c r="J982" t="s">
        <v>30</v>
      </c>
      <c r="K982" t="s">
        <v>64</v>
      </c>
      <c r="L982">
        <v>5</v>
      </c>
      <c r="M982">
        <v>1</v>
      </c>
      <c r="N982">
        <v>4</v>
      </c>
      <c r="O982">
        <v>2</v>
      </c>
      <c r="P982">
        <v>946.81</v>
      </c>
      <c r="Q982">
        <v>25</v>
      </c>
      <c r="S982">
        <f t="shared" si="60"/>
        <v>557.6865165165168</v>
      </c>
      <c r="T982">
        <f t="shared" si="61"/>
        <v>153</v>
      </c>
      <c r="U982">
        <f t="shared" si="62"/>
        <v>1.9139139139139139</v>
      </c>
      <c r="V982">
        <f t="shared" si="63"/>
        <v>557.6865165165168</v>
      </c>
    </row>
    <row r="983" spans="1:22" x14ac:dyDescent="0.25">
      <c r="A983">
        <v>1481</v>
      </c>
      <c r="B983" s="1">
        <v>45000</v>
      </c>
      <c r="C983" t="s">
        <v>37</v>
      </c>
      <c r="D983" t="s">
        <v>18</v>
      </c>
      <c r="E983" t="s">
        <v>32</v>
      </c>
      <c r="F983" t="s">
        <v>27</v>
      </c>
      <c r="G983" t="s">
        <v>21</v>
      </c>
      <c r="H983" t="s">
        <v>41</v>
      </c>
      <c r="I983" t="s">
        <v>23</v>
      </c>
      <c r="J983" t="s">
        <v>30</v>
      </c>
      <c r="K983" t="s">
        <v>46</v>
      </c>
      <c r="L983">
        <v>3</v>
      </c>
      <c r="M983">
        <v>5</v>
      </c>
      <c r="N983">
        <v>3</v>
      </c>
      <c r="O983">
        <v>5</v>
      </c>
      <c r="P983">
        <v>142.57</v>
      </c>
      <c r="Q983">
        <v>23</v>
      </c>
      <c r="S983">
        <f t="shared" si="60"/>
        <v>557.6865165165168</v>
      </c>
      <c r="T983">
        <f t="shared" si="61"/>
        <v>153</v>
      </c>
      <c r="U983">
        <f t="shared" si="62"/>
        <v>1.9139139139139139</v>
      </c>
      <c r="V983">
        <f t="shared" si="63"/>
        <v>557.6865165165168</v>
      </c>
    </row>
    <row r="984" spans="1:22" x14ac:dyDescent="0.25">
      <c r="A984">
        <v>1482</v>
      </c>
      <c r="B984" s="1">
        <v>43780</v>
      </c>
      <c r="C984" t="s">
        <v>60</v>
      </c>
      <c r="D984" t="s">
        <v>18</v>
      </c>
      <c r="E984" t="s">
        <v>19</v>
      </c>
      <c r="F984" t="s">
        <v>20</v>
      </c>
      <c r="G984" t="s">
        <v>21</v>
      </c>
      <c r="H984" t="s">
        <v>22</v>
      </c>
      <c r="I984" t="s">
        <v>23</v>
      </c>
      <c r="J984" t="s">
        <v>24</v>
      </c>
      <c r="K984" t="s">
        <v>46</v>
      </c>
      <c r="L984">
        <v>1</v>
      </c>
      <c r="M984">
        <v>1</v>
      </c>
      <c r="N984">
        <v>1</v>
      </c>
      <c r="O984">
        <v>5</v>
      </c>
      <c r="P984">
        <v>186.57</v>
      </c>
      <c r="Q984">
        <v>67</v>
      </c>
      <c r="S984">
        <f t="shared" si="60"/>
        <v>557.6865165165168</v>
      </c>
      <c r="T984">
        <f t="shared" si="61"/>
        <v>153</v>
      </c>
      <c r="U984">
        <f t="shared" si="62"/>
        <v>1.9139139139139139</v>
      </c>
      <c r="V984">
        <f t="shared" si="63"/>
        <v>557.6865165165168</v>
      </c>
    </row>
    <row r="985" spans="1:22" x14ac:dyDescent="0.25">
      <c r="A985">
        <v>1483</v>
      </c>
      <c r="B985" s="1">
        <v>44794</v>
      </c>
      <c r="C985" t="s">
        <v>43</v>
      </c>
      <c r="D985" t="s">
        <v>18</v>
      </c>
      <c r="E985" t="s">
        <v>32</v>
      </c>
      <c r="F985" t="s">
        <v>27</v>
      </c>
      <c r="G985" t="s">
        <v>21</v>
      </c>
      <c r="H985" t="s">
        <v>66</v>
      </c>
      <c r="I985" t="s">
        <v>23</v>
      </c>
      <c r="J985" t="s">
        <v>24</v>
      </c>
      <c r="K985" t="s">
        <v>46</v>
      </c>
      <c r="L985">
        <v>3</v>
      </c>
      <c r="M985">
        <v>5</v>
      </c>
      <c r="N985">
        <v>4</v>
      </c>
      <c r="O985">
        <v>4</v>
      </c>
      <c r="P985">
        <v>168.71</v>
      </c>
      <c r="Q985">
        <v>61</v>
      </c>
      <c r="S985">
        <f t="shared" si="60"/>
        <v>557.6865165165168</v>
      </c>
      <c r="T985">
        <f t="shared" si="61"/>
        <v>153</v>
      </c>
      <c r="U985">
        <f t="shared" si="62"/>
        <v>1.9139139139139139</v>
      </c>
      <c r="V985">
        <f t="shared" si="63"/>
        <v>557.6865165165168</v>
      </c>
    </row>
    <row r="986" spans="1:22" x14ac:dyDescent="0.25">
      <c r="A986">
        <v>1484</v>
      </c>
      <c r="B986" s="1">
        <v>43956</v>
      </c>
      <c r="C986" t="s">
        <v>49</v>
      </c>
      <c r="D986" t="s">
        <v>18</v>
      </c>
      <c r="E986" t="s">
        <v>32</v>
      </c>
      <c r="F986" t="s">
        <v>33</v>
      </c>
      <c r="G986" t="s">
        <v>21</v>
      </c>
      <c r="H986" t="s">
        <v>38</v>
      </c>
      <c r="I986" t="s">
        <v>23</v>
      </c>
      <c r="J986" t="s">
        <v>24</v>
      </c>
      <c r="K986" t="s">
        <v>46</v>
      </c>
      <c r="L986">
        <v>5</v>
      </c>
      <c r="M986">
        <v>2</v>
      </c>
      <c r="N986">
        <v>1</v>
      </c>
      <c r="O986">
        <v>1</v>
      </c>
      <c r="P986">
        <v>473.77</v>
      </c>
      <c r="Q986">
        <v>29</v>
      </c>
      <c r="S986">
        <f t="shared" si="60"/>
        <v>557.6865165165168</v>
      </c>
      <c r="T986">
        <f t="shared" si="61"/>
        <v>153</v>
      </c>
      <c r="U986">
        <f t="shared" si="62"/>
        <v>1.9139139139139139</v>
      </c>
      <c r="V986">
        <f t="shared" si="63"/>
        <v>557.6865165165168</v>
      </c>
    </row>
    <row r="987" spans="1:22" x14ac:dyDescent="0.25">
      <c r="A987">
        <v>1485</v>
      </c>
      <c r="B987" s="1">
        <v>44260</v>
      </c>
      <c r="C987" t="s">
        <v>31</v>
      </c>
      <c r="D987" t="s">
        <v>18</v>
      </c>
      <c r="E987" t="s">
        <v>19</v>
      </c>
      <c r="F987" t="s">
        <v>27</v>
      </c>
      <c r="G987" t="s">
        <v>21</v>
      </c>
      <c r="H987" t="s">
        <v>29</v>
      </c>
      <c r="I987" t="s">
        <v>23</v>
      </c>
      <c r="J987" t="s">
        <v>24</v>
      </c>
      <c r="K987" t="s">
        <v>46</v>
      </c>
      <c r="L987">
        <v>1</v>
      </c>
      <c r="M987">
        <v>2</v>
      </c>
      <c r="N987">
        <v>1</v>
      </c>
      <c r="O987">
        <v>5</v>
      </c>
      <c r="P987">
        <v>654.35</v>
      </c>
      <c r="Q987">
        <v>50</v>
      </c>
      <c r="S987">
        <f t="shared" si="60"/>
        <v>557.6865165165168</v>
      </c>
      <c r="T987">
        <f t="shared" si="61"/>
        <v>153</v>
      </c>
      <c r="U987">
        <f t="shared" si="62"/>
        <v>1.9139139139139139</v>
      </c>
      <c r="V987">
        <f t="shared" si="63"/>
        <v>557.6865165165168</v>
      </c>
    </row>
    <row r="988" spans="1:22" x14ac:dyDescent="0.25">
      <c r="A988">
        <v>1486</v>
      </c>
      <c r="B988" s="1">
        <v>43531</v>
      </c>
      <c r="C988" t="s">
        <v>40</v>
      </c>
      <c r="D988" t="s">
        <v>18</v>
      </c>
      <c r="E988" t="s">
        <v>28</v>
      </c>
      <c r="F988" t="s">
        <v>27</v>
      </c>
      <c r="G988" t="s">
        <v>21</v>
      </c>
      <c r="H988" t="s">
        <v>47</v>
      </c>
      <c r="I988" t="s">
        <v>23</v>
      </c>
      <c r="J988" t="s">
        <v>24</v>
      </c>
      <c r="K988" t="s">
        <v>25</v>
      </c>
      <c r="L988">
        <v>5</v>
      </c>
      <c r="M988">
        <v>5</v>
      </c>
      <c r="N988">
        <v>2</v>
      </c>
      <c r="O988">
        <v>2</v>
      </c>
      <c r="P988">
        <v>176.63</v>
      </c>
      <c r="Q988">
        <v>20</v>
      </c>
      <c r="S988">
        <f t="shared" si="60"/>
        <v>557.6865165165168</v>
      </c>
      <c r="T988">
        <f t="shared" si="61"/>
        <v>153</v>
      </c>
      <c r="U988">
        <f t="shared" si="62"/>
        <v>1.9139139139139139</v>
      </c>
      <c r="V988">
        <f t="shared" si="63"/>
        <v>557.6865165165168</v>
      </c>
    </row>
    <row r="989" spans="1:22" x14ac:dyDescent="0.25">
      <c r="A989">
        <v>1487</v>
      </c>
      <c r="B989" s="1">
        <v>44689</v>
      </c>
      <c r="C989" t="s">
        <v>17</v>
      </c>
      <c r="D989" t="s">
        <v>18</v>
      </c>
      <c r="E989" t="s">
        <v>32</v>
      </c>
      <c r="F989" t="s">
        <v>33</v>
      </c>
      <c r="G989" t="s">
        <v>21</v>
      </c>
      <c r="H989" t="s">
        <v>38</v>
      </c>
      <c r="I989" t="s">
        <v>23</v>
      </c>
      <c r="J989" t="s">
        <v>24</v>
      </c>
      <c r="K989" t="s">
        <v>25</v>
      </c>
      <c r="L989">
        <v>4</v>
      </c>
      <c r="M989">
        <v>4</v>
      </c>
      <c r="N989">
        <v>2</v>
      </c>
      <c r="O989">
        <v>3</v>
      </c>
      <c r="P989">
        <v>385.82</v>
      </c>
      <c r="Q989">
        <v>51</v>
      </c>
      <c r="S989">
        <f t="shared" si="60"/>
        <v>557.6865165165168</v>
      </c>
      <c r="T989">
        <f t="shared" si="61"/>
        <v>153</v>
      </c>
      <c r="U989">
        <f t="shared" si="62"/>
        <v>1.9139139139139139</v>
      </c>
      <c r="V989">
        <f t="shared" si="63"/>
        <v>557.6865165165168</v>
      </c>
    </row>
    <row r="990" spans="1:22" x14ac:dyDescent="0.25">
      <c r="A990">
        <v>1489</v>
      </c>
      <c r="B990" s="1">
        <v>44166</v>
      </c>
      <c r="C990" t="s">
        <v>26</v>
      </c>
      <c r="D990" t="s">
        <v>18</v>
      </c>
      <c r="E990" t="s">
        <v>19</v>
      </c>
      <c r="F990" t="s">
        <v>27</v>
      </c>
      <c r="G990" t="s">
        <v>21</v>
      </c>
      <c r="H990" t="s">
        <v>63</v>
      </c>
      <c r="I990" t="s">
        <v>23</v>
      </c>
      <c r="J990" t="s">
        <v>24</v>
      </c>
      <c r="K990" t="s">
        <v>25</v>
      </c>
      <c r="L990">
        <v>3</v>
      </c>
      <c r="M990">
        <v>5</v>
      </c>
      <c r="N990">
        <v>2</v>
      </c>
      <c r="O990">
        <v>5</v>
      </c>
      <c r="P990">
        <v>112.64</v>
      </c>
      <c r="Q990">
        <v>76</v>
      </c>
      <c r="S990">
        <f t="shared" si="60"/>
        <v>557.6865165165168</v>
      </c>
      <c r="T990">
        <f t="shared" si="61"/>
        <v>153</v>
      </c>
      <c r="U990">
        <f t="shared" si="62"/>
        <v>1.9139139139139139</v>
      </c>
      <c r="V990">
        <f t="shared" si="63"/>
        <v>557.6865165165168</v>
      </c>
    </row>
    <row r="991" spans="1:22" x14ac:dyDescent="0.25">
      <c r="A991">
        <v>1490</v>
      </c>
      <c r="B991" s="1">
        <v>43690</v>
      </c>
      <c r="C991" t="s">
        <v>54</v>
      </c>
      <c r="D991" t="s">
        <v>18</v>
      </c>
      <c r="E991" t="s">
        <v>19</v>
      </c>
      <c r="F991" t="s">
        <v>27</v>
      </c>
      <c r="G991" t="s">
        <v>21</v>
      </c>
      <c r="H991" t="s">
        <v>47</v>
      </c>
      <c r="I991" t="s">
        <v>23</v>
      </c>
      <c r="J991" t="s">
        <v>24</v>
      </c>
      <c r="K991" t="s">
        <v>64</v>
      </c>
      <c r="L991">
        <v>2</v>
      </c>
      <c r="M991">
        <v>3</v>
      </c>
      <c r="N991">
        <v>4</v>
      </c>
      <c r="O991">
        <v>4</v>
      </c>
      <c r="P991">
        <v>849.95</v>
      </c>
      <c r="Q991">
        <v>49</v>
      </c>
      <c r="S991">
        <f t="shared" si="60"/>
        <v>557.6865165165168</v>
      </c>
      <c r="T991">
        <f t="shared" si="61"/>
        <v>153</v>
      </c>
      <c r="U991">
        <f t="shared" si="62"/>
        <v>1.9139139139139139</v>
      </c>
      <c r="V991">
        <f t="shared" si="63"/>
        <v>557.6865165165168</v>
      </c>
    </row>
    <row r="992" spans="1:22" x14ac:dyDescent="0.25">
      <c r="A992">
        <v>1491</v>
      </c>
      <c r="B992" s="1">
        <v>43899</v>
      </c>
      <c r="C992" t="s">
        <v>37</v>
      </c>
      <c r="D992" t="s">
        <v>18</v>
      </c>
      <c r="E992" t="s">
        <v>28</v>
      </c>
      <c r="F992" t="s">
        <v>20</v>
      </c>
      <c r="G992" t="s">
        <v>21</v>
      </c>
      <c r="H992" t="s">
        <v>62</v>
      </c>
      <c r="I992" t="s">
        <v>23</v>
      </c>
      <c r="J992" t="s">
        <v>24</v>
      </c>
      <c r="K992" t="s">
        <v>46</v>
      </c>
      <c r="L992">
        <v>1</v>
      </c>
      <c r="M992">
        <v>3</v>
      </c>
      <c r="N992">
        <v>3</v>
      </c>
      <c r="O992">
        <v>5</v>
      </c>
      <c r="P992">
        <v>187.65</v>
      </c>
      <c r="Q992">
        <v>38</v>
      </c>
      <c r="S992">
        <f t="shared" si="60"/>
        <v>557.6865165165168</v>
      </c>
      <c r="T992">
        <f t="shared" si="61"/>
        <v>153</v>
      </c>
      <c r="U992">
        <f t="shared" si="62"/>
        <v>1.9139139139139139</v>
      </c>
      <c r="V992">
        <f t="shared" si="63"/>
        <v>557.6865165165168</v>
      </c>
    </row>
    <row r="993" spans="1:22" x14ac:dyDescent="0.25">
      <c r="A993">
        <v>1492</v>
      </c>
      <c r="B993" s="1">
        <v>43957</v>
      </c>
      <c r="C993" t="s">
        <v>17</v>
      </c>
      <c r="D993" t="s">
        <v>18</v>
      </c>
      <c r="E993" t="s">
        <v>32</v>
      </c>
      <c r="F993" t="s">
        <v>33</v>
      </c>
      <c r="G993" t="s">
        <v>21</v>
      </c>
      <c r="H993" t="s">
        <v>47</v>
      </c>
      <c r="I993" t="s">
        <v>23</v>
      </c>
      <c r="J993" t="s">
        <v>30</v>
      </c>
      <c r="K993" t="s">
        <v>46</v>
      </c>
      <c r="L993">
        <v>4</v>
      </c>
      <c r="M993">
        <v>5</v>
      </c>
      <c r="N993">
        <v>2</v>
      </c>
      <c r="O993">
        <v>1</v>
      </c>
      <c r="P993">
        <v>285.56</v>
      </c>
      <c r="Q993">
        <v>65</v>
      </c>
      <c r="S993">
        <f t="shared" si="60"/>
        <v>557.6865165165168</v>
      </c>
      <c r="T993">
        <f t="shared" si="61"/>
        <v>153</v>
      </c>
      <c r="U993">
        <f t="shared" si="62"/>
        <v>1.9139139139139139</v>
      </c>
      <c r="V993">
        <f t="shared" si="63"/>
        <v>557.6865165165168</v>
      </c>
    </row>
    <row r="994" spans="1:22" x14ac:dyDescent="0.25">
      <c r="A994">
        <v>1493</v>
      </c>
      <c r="B994" s="1">
        <v>44776</v>
      </c>
      <c r="C994" t="s">
        <v>52</v>
      </c>
      <c r="D994" t="s">
        <v>18</v>
      </c>
      <c r="E994" t="s">
        <v>32</v>
      </c>
      <c r="F994" t="s">
        <v>33</v>
      </c>
      <c r="G994" t="s">
        <v>21</v>
      </c>
      <c r="H994" t="s">
        <v>41</v>
      </c>
      <c r="I994" t="s">
        <v>23</v>
      </c>
      <c r="J994" t="s">
        <v>30</v>
      </c>
      <c r="K994" t="s">
        <v>25</v>
      </c>
      <c r="L994">
        <v>2</v>
      </c>
      <c r="M994">
        <v>2</v>
      </c>
      <c r="N994">
        <v>4</v>
      </c>
      <c r="O994">
        <v>3</v>
      </c>
      <c r="P994">
        <v>793.43</v>
      </c>
      <c r="Q994">
        <v>42</v>
      </c>
      <c r="S994">
        <f t="shared" si="60"/>
        <v>557.6865165165168</v>
      </c>
      <c r="T994">
        <f t="shared" si="61"/>
        <v>153</v>
      </c>
      <c r="U994">
        <f t="shared" si="62"/>
        <v>1.9139139139139139</v>
      </c>
      <c r="V994">
        <f t="shared" si="63"/>
        <v>557.6865165165168</v>
      </c>
    </row>
    <row r="995" spans="1:22" x14ac:dyDescent="0.25">
      <c r="A995">
        <v>1494</v>
      </c>
      <c r="B995" s="1">
        <v>43386</v>
      </c>
      <c r="C995" t="s">
        <v>26</v>
      </c>
      <c r="D995" t="s">
        <v>84</v>
      </c>
      <c r="E995" t="s">
        <v>19</v>
      </c>
      <c r="F995" t="s">
        <v>33</v>
      </c>
      <c r="G995" t="s">
        <v>21</v>
      </c>
      <c r="H995" t="s">
        <v>56</v>
      </c>
      <c r="I995" t="s">
        <v>23</v>
      </c>
      <c r="J995" t="s">
        <v>24</v>
      </c>
      <c r="K995" t="s">
        <v>25</v>
      </c>
      <c r="L995">
        <v>5</v>
      </c>
      <c r="M995">
        <v>5</v>
      </c>
      <c r="N995">
        <v>5</v>
      </c>
      <c r="O995">
        <v>5</v>
      </c>
      <c r="P995">
        <v>978.89</v>
      </c>
      <c r="Q995">
        <v>69</v>
      </c>
      <c r="S995">
        <f t="shared" si="60"/>
        <v>557.6865165165168</v>
      </c>
      <c r="T995">
        <f t="shared" si="61"/>
        <v>153</v>
      </c>
      <c r="U995">
        <f t="shared" si="62"/>
        <v>1.9139139139139139</v>
      </c>
      <c r="V995">
        <f t="shared" si="63"/>
        <v>557.6865165165168</v>
      </c>
    </row>
    <row r="996" spans="1:22" x14ac:dyDescent="0.25">
      <c r="A996">
        <v>1495</v>
      </c>
      <c r="B996" s="1">
        <v>44381</v>
      </c>
      <c r="C996" t="s">
        <v>54</v>
      </c>
      <c r="D996" t="s">
        <v>18</v>
      </c>
      <c r="E996" t="s">
        <v>28</v>
      </c>
      <c r="F996" t="s">
        <v>27</v>
      </c>
      <c r="G996" t="s">
        <v>21</v>
      </c>
      <c r="H996" t="s">
        <v>38</v>
      </c>
      <c r="I996" t="s">
        <v>23</v>
      </c>
      <c r="J996" t="s">
        <v>30</v>
      </c>
      <c r="K996" t="s">
        <v>25</v>
      </c>
      <c r="L996">
        <v>3</v>
      </c>
      <c r="M996">
        <v>3</v>
      </c>
      <c r="N996">
        <v>4</v>
      </c>
      <c r="O996">
        <v>4</v>
      </c>
      <c r="P996">
        <v>993.66</v>
      </c>
      <c r="Q996">
        <v>50</v>
      </c>
      <c r="S996">
        <f t="shared" si="60"/>
        <v>557.6865165165168</v>
      </c>
      <c r="T996">
        <f t="shared" si="61"/>
        <v>153</v>
      </c>
      <c r="U996">
        <f t="shared" si="62"/>
        <v>1.9139139139139139</v>
      </c>
      <c r="V996">
        <f t="shared" si="63"/>
        <v>557.6865165165168</v>
      </c>
    </row>
    <row r="997" spans="1:22" x14ac:dyDescent="0.25">
      <c r="A997">
        <v>1496</v>
      </c>
      <c r="B997" s="1">
        <v>43585</v>
      </c>
      <c r="C997" t="s">
        <v>37</v>
      </c>
      <c r="D997" t="s">
        <v>18</v>
      </c>
      <c r="E997" t="s">
        <v>28</v>
      </c>
      <c r="F997" t="s">
        <v>27</v>
      </c>
      <c r="G997" t="s">
        <v>21</v>
      </c>
      <c r="H997" t="s">
        <v>56</v>
      </c>
      <c r="I997" t="s">
        <v>23</v>
      </c>
      <c r="J997" t="s">
        <v>30</v>
      </c>
      <c r="K997" t="s">
        <v>25</v>
      </c>
      <c r="L997">
        <v>2</v>
      </c>
      <c r="M997">
        <v>3</v>
      </c>
      <c r="N997">
        <v>3</v>
      </c>
      <c r="O997">
        <v>3</v>
      </c>
      <c r="P997">
        <v>768.55</v>
      </c>
      <c r="Q997">
        <v>69</v>
      </c>
      <c r="S997">
        <f t="shared" si="60"/>
        <v>557.6865165165168</v>
      </c>
      <c r="T997">
        <f t="shared" si="61"/>
        <v>153</v>
      </c>
      <c r="U997">
        <f t="shared" si="62"/>
        <v>1.9139139139139139</v>
      </c>
      <c r="V997">
        <f t="shared" si="63"/>
        <v>557.6865165165168</v>
      </c>
    </row>
    <row r="998" spans="1:22" x14ac:dyDescent="0.25">
      <c r="A998">
        <v>1497</v>
      </c>
      <c r="B998" s="1">
        <v>44138</v>
      </c>
      <c r="C998" t="s">
        <v>60</v>
      </c>
      <c r="D998" t="s">
        <v>18</v>
      </c>
      <c r="E998" t="s">
        <v>19</v>
      </c>
      <c r="F998" t="s">
        <v>20</v>
      </c>
      <c r="G998" t="s">
        <v>21</v>
      </c>
      <c r="H998" t="s">
        <v>47</v>
      </c>
      <c r="I998" t="s">
        <v>23</v>
      </c>
      <c r="J998" t="s">
        <v>30</v>
      </c>
      <c r="K998" t="s">
        <v>64</v>
      </c>
      <c r="L998">
        <v>5</v>
      </c>
      <c r="M998">
        <v>4</v>
      </c>
      <c r="N998">
        <v>5</v>
      </c>
      <c r="O998">
        <v>3</v>
      </c>
      <c r="P998">
        <v>140.78</v>
      </c>
      <c r="Q998">
        <v>25</v>
      </c>
      <c r="S998">
        <f t="shared" si="60"/>
        <v>557.6865165165168</v>
      </c>
      <c r="T998">
        <f t="shared" si="61"/>
        <v>153</v>
      </c>
      <c r="U998">
        <f t="shared" si="62"/>
        <v>1.9139139139139139</v>
      </c>
      <c r="V998">
        <f t="shared" si="63"/>
        <v>557.6865165165168</v>
      </c>
    </row>
    <row r="999" spans="1:22" x14ac:dyDescent="0.25">
      <c r="A999">
        <v>1498</v>
      </c>
      <c r="B999" s="1">
        <v>44788</v>
      </c>
      <c r="C999" t="s">
        <v>40</v>
      </c>
      <c r="D999" t="s">
        <v>18</v>
      </c>
      <c r="E999" t="s">
        <v>32</v>
      </c>
      <c r="F999" t="s">
        <v>33</v>
      </c>
      <c r="G999" t="s">
        <v>21</v>
      </c>
      <c r="H999" t="s">
        <v>47</v>
      </c>
      <c r="I999" t="s">
        <v>23</v>
      </c>
      <c r="J999" t="s">
        <v>24</v>
      </c>
      <c r="K999" t="s">
        <v>46</v>
      </c>
      <c r="L999">
        <v>1</v>
      </c>
      <c r="M999">
        <v>5</v>
      </c>
      <c r="N999">
        <v>3</v>
      </c>
      <c r="O999">
        <v>3</v>
      </c>
      <c r="P999">
        <v>598.07000000000005</v>
      </c>
      <c r="Q999">
        <v>78</v>
      </c>
      <c r="S999">
        <f t="shared" si="60"/>
        <v>557.6865165165168</v>
      </c>
      <c r="T999">
        <f t="shared" si="61"/>
        <v>153</v>
      </c>
      <c r="U999">
        <f t="shared" si="62"/>
        <v>1.9139139139139139</v>
      </c>
      <c r="V999">
        <f t="shared" si="63"/>
        <v>557.6865165165168</v>
      </c>
    </row>
    <row r="1000" spans="1:22" x14ac:dyDescent="0.25">
      <c r="A1000">
        <v>1499</v>
      </c>
      <c r="B1000" s="1">
        <v>44618</v>
      </c>
      <c r="C1000" t="s">
        <v>17</v>
      </c>
      <c r="D1000" t="s">
        <v>18</v>
      </c>
      <c r="E1000" t="s">
        <v>19</v>
      </c>
      <c r="F1000" t="s">
        <v>27</v>
      </c>
      <c r="G1000" t="s">
        <v>21</v>
      </c>
      <c r="H1000" t="s">
        <v>38</v>
      </c>
      <c r="I1000" t="s">
        <v>23</v>
      </c>
      <c r="J1000" t="s">
        <v>24</v>
      </c>
      <c r="K1000" t="s">
        <v>25</v>
      </c>
      <c r="L1000">
        <v>4</v>
      </c>
      <c r="M1000">
        <v>2</v>
      </c>
      <c r="N1000">
        <v>3</v>
      </c>
      <c r="O1000">
        <v>5</v>
      </c>
      <c r="P1000">
        <v>543.52</v>
      </c>
      <c r="Q1000">
        <v>47</v>
      </c>
      <c r="S1000">
        <f t="shared" si="60"/>
        <v>557.6865165165168</v>
      </c>
      <c r="T1000">
        <f t="shared" si="61"/>
        <v>153</v>
      </c>
      <c r="U1000">
        <f t="shared" si="62"/>
        <v>1.9139139139139139</v>
      </c>
      <c r="V1000">
        <f t="shared" si="63"/>
        <v>557.6865165165168</v>
      </c>
    </row>
    <row r="2812" spans="10:10" x14ac:dyDescent="0.25">
      <c r="J2812" t="s">
        <v>82</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3FA6F-1CAD-415F-B588-CAB2910057E1}">
  <dimension ref="A1"/>
  <sheetViews>
    <sheetView showGridLines="0" tabSelected="1" workbookViewId="0">
      <selection activeCell="T10" sqref="T10"/>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EF47EE-8A7A-4865-A3BA-3985C79A7C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Cleaned_HR_Data_Analysis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KARTHIKEYARAJAN S</cp:lastModifiedBy>
  <dcterms:created xsi:type="dcterms:W3CDTF">2026-01-04T05:32:31Z</dcterms:created>
  <dcterms:modified xsi:type="dcterms:W3CDTF">2026-01-07T05:34:09Z</dcterms:modified>
</cp:coreProperties>
</file>